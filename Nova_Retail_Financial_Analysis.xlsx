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621b947fc4af55/"/>
    </mc:Choice>
  </mc:AlternateContent>
  <xr:revisionPtr revIDLastSave="0" documentId="8_{973F5114-C01C-486F-9D66-487A8AEBA622}" xr6:coauthVersionLast="47" xr6:coauthVersionMax="47" xr10:uidLastSave="{00000000-0000-0000-0000-000000000000}"/>
  <bookViews>
    <workbookView xWindow="-108" yWindow="-108" windowWidth="23256" windowHeight="13176" activeTab="3" xr2:uid="{1C28A22D-B95F-45D0-9A65-8B9F87E3549A}"/>
  </bookViews>
  <sheets>
    <sheet name="Sheet4" sheetId="4" r:id="rId1"/>
    <sheet name="dashboards" sheetId="5" r:id="rId2"/>
    <sheet name="Sheet2" sheetId="6" r:id="rId3"/>
    <sheet name="tbl_FinancialData" sheetId="1" r:id="rId4"/>
    <sheet name="financial analysis" sheetId="2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5" l="1"/>
  <c r="I5" i="5"/>
  <c r="G5" i="5"/>
  <c r="E5" i="5"/>
  <c r="C5" i="5"/>
  <c r="A5" i="5"/>
  <c r="J6" i="4"/>
  <c r="J5" i="4"/>
  <c r="J4" i="4"/>
  <c r="F18" i="2"/>
  <c r="F19" i="2"/>
  <c r="F20" i="2"/>
  <c r="F21" i="2"/>
  <c r="F22" i="2"/>
  <c r="F23" i="2"/>
  <c r="F24" i="2"/>
  <c r="F25" i="2"/>
  <c r="F26" i="2"/>
  <c r="F27" i="2"/>
  <c r="F17" i="2"/>
  <c r="F16" i="2"/>
  <c r="B16" i="2"/>
  <c r="C19" i="2"/>
  <c r="C20" i="2"/>
  <c r="C21" i="2"/>
  <c r="C22" i="2"/>
  <c r="C23" i="2"/>
  <c r="C24" i="2"/>
  <c r="C25" i="2"/>
  <c r="C26" i="2"/>
  <c r="C27" i="2"/>
  <c r="C18" i="2"/>
  <c r="C17" i="2"/>
  <c r="C16" i="2"/>
  <c r="B19" i="2"/>
  <c r="D19" i="2" s="1"/>
  <c r="E19" i="2" s="1"/>
  <c r="B20" i="2"/>
  <c r="D20" i="2" s="1"/>
  <c r="E20" i="2" s="1"/>
  <c r="B21" i="2"/>
  <c r="D21" i="2" s="1"/>
  <c r="E21" i="2" s="1"/>
  <c r="B22" i="2"/>
  <c r="D22" i="2" s="1"/>
  <c r="E22" i="2" s="1"/>
  <c r="B23" i="2"/>
  <c r="D23" i="2" s="1"/>
  <c r="E23" i="2" s="1"/>
  <c r="B24" i="2"/>
  <c r="D24" i="2" s="1"/>
  <c r="E24" i="2" s="1"/>
  <c r="B25" i="2"/>
  <c r="D25" i="2" s="1"/>
  <c r="E25" i="2" s="1"/>
  <c r="B26" i="2"/>
  <c r="D26" i="2" s="1"/>
  <c r="E26" i="2" s="1"/>
  <c r="B27" i="2"/>
  <c r="D27" i="2" s="1"/>
  <c r="E27" i="2" s="1"/>
  <c r="D16" i="2"/>
  <c r="E16" i="2" s="1"/>
  <c r="B18" i="2"/>
  <c r="B17" i="2"/>
  <c r="P6" i="1"/>
  <c r="P2" i="1"/>
  <c r="P3" i="1"/>
  <c r="P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D18" i="2" l="1"/>
  <c r="E18" i="2" s="1"/>
  <c r="D17" i="2"/>
  <c r="E17" i="2" s="1"/>
</calcChain>
</file>

<file path=xl/sharedStrings.xml><?xml version="1.0" encoding="utf-8"?>
<sst xmlns="http://schemas.openxmlformats.org/spreadsheetml/2006/main" count="632" uniqueCount="82">
  <si>
    <t>Date</t>
  </si>
  <si>
    <t>Month</t>
  </si>
  <si>
    <t>Product</t>
  </si>
  <si>
    <t>Category</t>
  </si>
  <si>
    <t>Units Sold</t>
  </si>
  <si>
    <t>Revenue</t>
  </si>
  <si>
    <t>COGS</t>
  </si>
  <si>
    <t>Operating Expense</t>
  </si>
  <si>
    <t>Budget Revenue</t>
  </si>
  <si>
    <t>Budget Expense</t>
  </si>
  <si>
    <t>Jan</t>
  </si>
  <si>
    <t>Chennai</t>
  </si>
  <si>
    <t>Laptop</t>
  </si>
  <si>
    <t>Electronics</t>
  </si>
  <si>
    <t>Bangalore</t>
  </si>
  <si>
    <t>Headphones</t>
  </si>
  <si>
    <t>Hyderabad</t>
  </si>
  <si>
    <t>Office Chair</t>
  </si>
  <si>
    <t>Furniture</t>
  </si>
  <si>
    <t>Monitor</t>
  </si>
  <si>
    <t>Desk</t>
  </si>
  <si>
    <t>Keyboard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</si>
  <si>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</si>
  <si>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</si>
  <si>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</si>
  <si>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</si>
  <si>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</si>
  <si>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</si>
  <si>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</si>
  <si>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</si>
  <si>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</si>
  <si>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</si>
  <si>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</si>
  <si>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Gross Profit</t>
  </si>
  <si>
    <t>Gross Margin %</t>
  </si>
  <si>
    <t>Operating Profit</t>
  </si>
  <si>
    <t>Revenue Variance</t>
  </si>
  <si>
    <t>Revenue Variance %</t>
  </si>
  <si>
    <t>Nova Retail Pvt. Ltd.</t>
  </si>
  <si>
    <t>Financial Performance Analysis</t>
  </si>
  <si>
    <t>Key Financial Metrics</t>
  </si>
  <si>
    <t>Value</t>
  </si>
  <si>
    <t>Total Revenue</t>
  </si>
  <si>
    <t>Total Gross Profit</t>
  </si>
  <si>
    <t>Total Operating Expense</t>
  </si>
  <si>
    <t>Total Operating Profit</t>
  </si>
  <si>
    <t>B</t>
  </si>
  <si>
    <t>C</t>
  </si>
  <si>
    <t>Actual Revenue</t>
  </si>
  <si>
    <t>A</t>
  </si>
  <si>
    <t>D</t>
  </si>
  <si>
    <t>E</t>
  </si>
  <si>
    <t>F</t>
  </si>
  <si>
    <t>Operating profit</t>
  </si>
  <si>
    <t>Row Labels</t>
  </si>
  <si>
    <t>Grand Total</t>
  </si>
  <si>
    <t>Sum of Revenue</t>
  </si>
  <si>
    <t>City</t>
  </si>
  <si>
    <t xml:space="preserve">gross margin </t>
  </si>
  <si>
    <t>Sum of Gross Profit</t>
  </si>
  <si>
    <t>Financial Performance Dashboard</t>
  </si>
  <si>
    <t>Insight</t>
  </si>
  <si>
    <t>What the data shows</t>
  </si>
  <si>
    <t>1. Overall performance</t>
  </si>
  <si>
    <r>
      <t xml:space="preserve">Total Revenue </t>
    </r>
    <r>
      <rPr>
        <b/>
        <sz val="11"/>
        <color theme="1"/>
        <rFont val="Calibri"/>
        <family val="2"/>
        <scheme val="minor"/>
      </rPr>
      <t>₹4.26 crore</t>
    </r>
    <r>
      <rPr>
        <sz val="11"/>
        <color theme="1"/>
        <rFont val="Calibri"/>
        <family val="2"/>
        <scheme val="minor"/>
      </rPr>
      <t xml:space="preserve">; Actual Revenue Budget-ai </t>
    </r>
    <r>
      <rPr>
        <b/>
        <sz val="11"/>
        <color theme="1"/>
        <rFont val="Calibri"/>
        <family val="2"/>
        <scheme val="minor"/>
      </rPr>
      <t>₹20.14 lakh (4.97%)</t>
    </r>
    <r>
      <rPr>
        <sz val="11"/>
        <color theme="1"/>
        <rFont val="Calibri"/>
        <family val="2"/>
        <scheme val="minor"/>
      </rPr>
      <t xml:space="preserve"> exceed pannirukku.</t>
    </r>
  </si>
  <si>
    <t>2. Profitability</t>
  </si>
  <si>
    <r>
      <t xml:space="preserve">Overall Gross Margin </t>
    </r>
    <r>
      <rPr>
        <b/>
        <sz val="11"/>
        <color theme="1"/>
        <rFont val="Calibri"/>
        <family val="2"/>
        <scheme val="minor"/>
      </rPr>
      <t>31.82%</t>
    </r>
    <r>
      <rPr>
        <sz val="11"/>
        <color theme="1"/>
        <rFont val="Calibri"/>
        <family val="2"/>
        <scheme val="minor"/>
      </rPr>
      <t xml:space="preserve">. Furniture margin </t>
    </r>
    <r>
      <rPr>
        <b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, Electronics margin </t>
    </r>
    <r>
      <rPr>
        <b/>
        <sz val="11"/>
        <color theme="1"/>
        <rFont val="Calibri"/>
        <family val="2"/>
        <scheme val="minor"/>
      </rPr>
      <t>30.35%</t>
    </r>
    <r>
      <rPr>
        <sz val="11"/>
        <color theme="1"/>
        <rFont val="Calibri"/>
        <family val="2"/>
        <scheme val="minor"/>
      </rPr>
      <t>.</t>
    </r>
  </si>
  <si>
    <t>3. City contribution</t>
  </si>
  <si>
    <r>
      <t xml:space="preserve">Chennai revenue </t>
    </r>
    <r>
      <rPr>
        <b/>
        <sz val="11"/>
        <color theme="1"/>
        <rFont val="Calibri"/>
        <family val="2"/>
        <scheme val="minor"/>
      </rPr>
      <t>₹2.67 crore</t>
    </r>
    <r>
      <rPr>
        <sz val="11"/>
        <color theme="1"/>
        <rFont val="Calibri"/>
        <family val="2"/>
        <scheme val="minor"/>
      </rPr>
      <t xml:space="preserve">, which is about </t>
    </r>
    <r>
      <rPr>
        <b/>
        <sz val="11"/>
        <color theme="1"/>
        <rFont val="Calibri"/>
        <family val="2"/>
        <scheme val="minor"/>
      </rPr>
      <t>62.8%</t>
    </r>
    <r>
      <rPr>
        <sz val="11"/>
        <color theme="1"/>
        <rFont val="Calibri"/>
        <family val="2"/>
        <scheme val="minor"/>
      </rPr>
      <t xml:space="preserve"> of total revenue. Bangalore ~20.1%, Hyderabad ~17.0%.</t>
    </r>
  </si>
  <si>
    <t>4. Category contribution</t>
  </si>
  <si>
    <r>
      <t xml:space="preserve">Electronics </t>
    </r>
    <r>
      <rPr>
        <b/>
        <sz val="11"/>
        <color theme="1"/>
        <rFont val="Calibri"/>
        <family val="2"/>
        <scheme val="minor"/>
      </rPr>
      <t>₹3.61 crore (~84.7%)</t>
    </r>
    <r>
      <rPr>
        <sz val="11"/>
        <color theme="1"/>
        <rFont val="Calibri"/>
        <family val="2"/>
        <scheme val="minor"/>
      </rPr>
      <t xml:space="preserve"> revenue contribute pannudhu; Furniture </t>
    </r>
    <r>
      <rPr>
        <b/>
        <sz val="11"/>
        <color theme="1"/>
        <rFont val="Calibri"/>
        <family val="2"/>
        <scheme val="minor"/>
      </rPr>
      <t>₹64.9 lakh (~15.3%)</t>
    </r>
    <r>
      <rPr>
        <sz val="11"/>
        <color theme="1"/>
        <rFont val="Calibri"/>
        <family val="2"/>
        <scheme val="minor"/>
      </rPr>
      <t>.</t>
    </r>
  </si>
  <si>
    <t>5. Monthly trend</t>
  </si>
  <si>
    <r>
      <t xml:space="preserve">Actual revenue </t>
    </r>
    <r>
      <rPr>
        <b/>
        <sz val="11"/>
        <color theme="1"/>
        <rFont val="Calibri"/>
        <family val="2"/>
        <scheme val="minor"/>
      </rPr>
      <t>Jan ₹22 lakh → Dec ₹51.65 lakh</t>
    </r>
    <r>
      <rPr>
        <sz val="11"/>
        <color theme="1"/>
        <rFont val="Calibri"/>
        <family val="2"/>
        <scheme val="minor"/>
      </rPr>
      <t>. December highest revenue month; January lowest.</t>
    </r>
  </si>
  <si>
    <t>Result</t>
  </si>
  <si>
    <t>“The analysis shows that Electronics is the major revenue contributor, while Furniture generates a higher gross margin percentage. This highlights a difference between revenue contribution and profitability.”</t>
  </si>
  <si>
    <t>Meeting</t>
  </si>
  <si>
    <t>Management Insights</t>
  </si>
  <si>
    <t>1.Total revenue reached ₹4.26 crore, exceeding the total budget by ₹20.14 lakh (4.97%).</t>
  </si>
  <si>
    <t>2.Overall gross margin was 31.82%, while Furniture recorded a higher gross margin of 40.00% compared with Electronics at 30.35%.</t>
  </si>
  <si>
    <t>3.Chennai generated the highest revenue at ₹2.67 crore, contributing approximately 62.8% of total revenue.</t>
  </si>
  <si>
    <t>4.Electronics was the major revenue contributor at ₹3.61 crore, representing approximately 84.7% of total revenue.</t>
  </si>
  <si>
    <t>5.Revenue increased from ₹22.00 lakh in January to ₹51.65 lakh in December, with December recording the highest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</si>
</sst>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00"/>
    <numFmt numFmtId="165" formatCode="_ &quot;₹&quot;\ * #,##0_ ;_ &quot;₹&quot;\ * \-#,##0_ ;_ &quot;₹&quot;\ * &quot;-&quot;??_ ;_ @_ "/>
    <numFmt numFmtId="166" formatCode="_ [$₹-4009]\ * #,##0_ ;_ [$₹-4009]\ * \-#,##0_ ;_ [$₹-4009]\ * &quot;-&quot;??_ ;_ @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ptos"/>
    </font>
    <font>
      <b/>
      <sz val="14"/>
      <color theme="1"/>
      <name val="Aptos"/>
    </font>
    <font>
      <sz val="11"/>
      <color theme="1"/>
      <name val="Aptos"/>
    </font>
    <font>
      <sz val="20"/>
      <color theme="1"/>
      <name val="Aptos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5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9" fontId="1" fillId="0" borderId="3" xfId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0" xfId="1" applyFont="1"/>
    <xf numFmtId="9" fontId="1" fillId="0" borderId="4" xfId="1" applyFont="1" applyBorder="1" applyAlignment="1">
      <alignment horizontal="center" vertical="center" wrapText="1"/>
    </xf>
    <xf numFmtId="9" fontId="0" fillId="0" borderId="6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1" fillId="0" borderId="0" xfId="0" applyFont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23" xfId="0" applyBorder="1"/>
    <xf numFmtId="0" fontId="0" fillId="0" borderId="25" xfId="0" applyBorder="1"/>
    <xf numFmtId="0" fontId="1" fillId="0" borderId="11" xfId="0" applyFont="1" applyBorder="1" applyAlignment="1">
      <alignment horizontal="center" vertical="center" wrapText="1"/>
    </xf>
    <xf numFmtId="0" fontId="0" fillId="0" borderId="24" xfId="0" applyBorder="1"/>
    <xf numFmtId="0" fontId="0" fillId="0" borderId="26" xfId="0" applyBorder="1"/>
    <xf numFmtId="0" fontId="1" fillId="0" borderId="35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0" fillId="0" borderId="36" xfId="0" applyBorder="1"/>
    <xf numFmtId="0" fontId="1" fillId="0" borderId="30" xfId="0" applyFont="1" applyBorder="1" applyAlignment="1">
      <alignment horizontal="center"/>
    </xf>
    <xf numFmtId="164" fontId="0" fillId="0" borderId="0" xfId="0" applyNumberFormat="1"/>
    <xf numFmtId="0" fontId="0" fillId="0" borderId="37" xfId="0" applyBorder="1"/>
    <xf numFmtId="10" fontId="0" fillId="0" borderId="36" xfId="1" applyNumberFormat="1" applyFont="1" applyBorder="1"/>
    <xf numFmtId="10" fontId="0" fillId="0" borderId="32" xfId="1" applyNumberFormat="1" applyFont="1" applyBorder="1"/>
    <xf numFmtId="10" fontId="0" fillId="0" borderId="33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0" fillId="0" borderId="17" xfId="2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165" fontId="0" fillId="0" borderId="15" xfId="2" applyNumberFormat="1" applyFont="1" applyBorder="1" applyAlignment="1">
      <alignment horizontal="center"/>
    </xf>
    <xf numFmtId="165" fontId="0" fillId="0" borderId="16" xfId="2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21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100" b="1" i="0" u="none" strike="noStrike" baseline="0">
                <a:latin typeface="Aptos" panose="020B0004020202020204" pitchFamily="34" charset="0"/>
              </a:rPr>
              <a:t>Monthly Revenue vs Budget</a:t>
            </a:r>
            <a:endParaRPr lang="en-IN" sz="1100" b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6708333333333336"/>
          <c:w val="0.6121502624671916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analysis'!$B$15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analysis'!$A$16:$A$27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analysis'!$B$16:$B$27</c:f>
              <c:numCache>
                <c:formatCode>General</c:formatCode>
                <c:ptCount val="12"/>
                <c:pt idx="0">
                  <c:v>2200000</c:v>
                </c:pt>
                <c:pt idx="1">
                  <c:v>2128000</c:v>
                </c:pt>
                <c:pt idx="2">
                  <c:v>2701000</c:v>
                </c:pt>
                <c:pt idx="3">
                  <c:v>2802000</c:v>
                </c:pt>
                <c:pt idx="4">
                  <c:v>3035000</c:v>
                </c:pt>
                <c:pt idx="5">
                  <c:v>3461000</c:v>
                </c:pt>
                <c:pt idx="6">
                  <c:v>3730000</c:v>
                </c:pt>
                <c:pt idx="7">
                  <c:v>4125000</c:v>
                </c:pt>
                <c:pt idx="8">
                  <c:v>3956000</c:v>
                </c:pt>
                <c:pt idx="9">
                  <c:v>4501000</c:v>
                </c:pt>
                <c:pt idx="10">
                  <c:v>4755000</c:v>
                </c:pt>
                <c:pt idx="11">
                  <c:v>5165000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A-4D07-BF2D-66F3D48D7AF0}"/>
            </c:ext>
          </c:extLst>
        </c:ser>
        <c:ser>
          <c:idx val="1"/>
          <c:order val="1"/>
          <c:tx>
            <c:strRef>
              <c:f>'financial analysis'!$C$15</c:f>
              <c:strCache>
                <c:ptCount val="1"/>
                <c:pt idx="0">
                  <c:v>Budget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 analysis'!$A$16:$A$27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analysis'!$C$16:$C$27</c:f>
              <c:numCache>
                <c:formatCode>General</c:formatCode>
                <c:ptCount val="12"/>
                <c:pt idx="0">
                  <c:v>2132000</c:v>
                </c:pt>
                <c:pt idx="1">
                  <c:v>2047000</c:v>
                </c:pt>
                <c:pt idx="2">
                  <c:v>2581000</c:v>
                </c:pt>
                <c:pt idx="3">
                  <c:v>2698000</c:v>
                </c:pt>
                <c:pt idx="4">
                  <c:v>2899000</c:v>
                </c:pt>
                <c:pt idx="5">
                  <c:v>3273000</c:v>
                </c:pt>
                <c:pt idx="6">
                  <c:v>3557000</c:v>
                </c:pt>
                <c:pt idx="7">
                  <c:v>3906000</c:v>
                </c:pt>
                <c:pt idx="8">
                  <c:v>3770000</c:v>
                </c:pt>
                <c:pt idx="9">
                  <c:v>4261000</c:v>
                </c:pt>
                <c:pt idx="10">
                  <c:v>4523000</c:v>
                </c:pt>
                <c:pt idx="11">
                  <c:v>4898000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A-4D07-BF2D-66F3D48D7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089888"/>
        <c:axId val="337055984"/>
      </c:barChart>
      <c:catAx>
        <c:axId val="3080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55984"/>
        <c:crosses val="autoZero"/>
        <c:auto val="1"/>
        <c:lblAlgn val="ctr"/>
        <c:lblOffset val="100"/>
        <c:noMultiLvlLbl val="0"/>
      </c:catAx>
      <c:valAx>
        <c:axId val="33705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15602337649577"/>
          <c:y val="0.11591863517060365"/>
          <c:w val="0.26284397662350417"/>
          <c:h val="0.19396687483030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100" b="1">
                <a:latin typeface="Aptos" panose="020B0004020202020204" pitchFamily="34" charset="0"/>
              </a:rPr>
              <a:t>Monthly Operating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46981627296589"/>
          <c:y val="0.17171296296296298"/>
          <c:w val="0.83953018372703414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'financial analysis'!$F$15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analysis'!$A$16:$A$27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analysis'!$F$16:$F$27</c:f>
              <c:numCache>
                <c:formatCode>General</c:formatCode>
                <c:ptCount val="12"/>
                <c:pt idx="0">
                  <c:v>410900</c:v>
                </c:pt>
                <c:pt idx="1">
                  <c:v>412500</c:v>
                </c:pt>
                <c:pt idx="2">
                  <c:v>527800</c:v>
                </c:pt>
                <c:pt idx="3">
                  <c:v>578000</c:v>
                </c:pt>
                <c:pt idx="4">
                  <c:v>615900</c:v>
                </c:pt>
                <c:pt idx="5">
                  <c:v>715300</c:v>
                </c:pt>
                <c:pt idx="6">
                  <c:v>780900</c:v>
                </c:pt>
                <c:pt idx="7">
                  <c:v>869900</c:v>
                </c:pt>
                <c:pt idx="8">
                  <c:v>832500</c:v>
                </c:pt>
                <c:pt idx="9">
                  <c:v>956700</c:v>
                </c:pt>
                <c:pt idx="10">
                  <c:v>1013400</c:v>
                </c:pt>
                <c:pt idx="11">
                  <c:v>1101900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B-45BC-98D1-AF0290E7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203440"/>
        <c:axId val="337011824"/>
      </c:lineChart>
      <c:catAx>
        <c:axId val="3072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11824"/>
        <c:crosses val="autoZero"/>
        <c:auto val="1"/>
        <c:lblAlgn val="ctr"/>
        <c:lblOffset val="100"/>
        <c:noMultiLvlLbl val="0"/>
      </c:catAx>
      <c:valAx>
        <c:axId val="3370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0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[Nova_Retail_Financial_Analysis.xlsx]Sheet4!PivotTable2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100" b="1" i="0" u="none" strike="noStrike" baseline="0">
                <a:latin typeface="Aptos" panose="020B0004020202020204" pitchFamily="34" charset="0"/>
              </a:rPr>
              <a:t>Revenue by City</a:t>
            </a:r>
            <a:endParaRPr lang="en-IN" sz="1100" b="1"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3684234470691163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Hyderabad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8575000</c:v>
                </c:pt>
                <c:pt idx="1">
                  <c:v>26733000</c:v>
                </c:pt>
                <c:pt idx="2">
                  <c:v>7251000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D-4423-9CF2-68C9FA8D9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257088"/>
        <c:axId val="336988784"/>
      </c:barChart>
      <c:catAx>
        <c:axId val="21212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88784"/>
        <c:crosses val="autoZero"/>
        <c:auto val="1"/>
        <c:lblAlgn val="ctr"/>
        <c:lblOffset val="100"/>
        <c:noMultiLvlLbl val="0"/>
      </c:catAx>
      <c:valAx>
        <c:axId val="33698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25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[Nova_Retail_Financial_Analysis.xlsx]Sheet4!PivotTable4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100" b="0" i="0" u="none" strike="noStrike" baseline="0">
                <a:solidFill>
                  <a:schemeClr val="tx1"/>
                </a:solidFill>
                <a:latin typeface="Aptos" panose="020B0004020202020204" pitchFamily="34" charset="0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Sheet4!$M$5:$M$7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Sheet4!$N$5:$N$7</c:f>
              <c:numCache>
                <c:formatCode>General</c:formatCode>
                <c:ptCount val="2"/>
                <c:pt idx="0">
                  <c:v>36069000</c:v>
                </c:pt>
                <c:pt idx="1">
                  <c:v>6490000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9-4511-8416-63A7E44BC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052656"/>
        <c:axId val="336956144"/>
      </c:barChart>
      <c:catAx>
        <c:axId val="32405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56144"/>
        <c:crosses val="autoZero"/>
        <c:auto val="1"/>
        <c:lblAlgn val="ctr"/>
        <c:lblOffset val="100"/>
        <c:noMultiLvlLbl val="0"/>
      </c:catAx>
      <c:valAx>
        <c:axId val="33695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100" b="1">
                <a:latin typeface="Aptos" panose="020B0004020202020204" pitchFamily="34" charset="0"/>
              </a:rPr>
              <a:t>Gross Margin %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Sheet4!$Q$4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Sheet4!$P$5:$P$6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Sheet4!$Q$5:$Q$6</c:f>
              <c:numCache>
                <c:formatCode>0.00%</c:formatCode>
                <c:ptCount val="2"/>
                <c:pt idx="0">
                  <c:v>0.30349999999999999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126-B0F0-4D980D2F3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707215"/>
        <c:axId val="1104701039"/>
      </c:barChart>
      <c:catAx>
        <c:axId val="12487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701039"/>
        <c:crosses val="autoZero"/>
        <c:auto val="1"/>
        <c:lblAlgn val="ctr"/>
        <c:lblOffset val="100"/>
        <c:noMultiLvlLbl val="0"/>
      </c:catAx>
      <c:valAx>
        <c:axId val="11047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70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175260</xdr:rowOff>
    </xdr:from>
    <xdr:to>
      <xdr:col>6</xdr:col>
      <xdr:colOff>7620</xdr:colOff>
      <xdr:row>20</xdr:row>
      <xdr:rowOff>7620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F1B7D9A-8A6A-0D94-50AE-DE92F4494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7</xdr:row>
      <xdr:rowOff>175260</xdr:rowOff>
    </xdr:from>
    <xdr:to>
      <xdr:col>12</xdr:col>
      <xdr:colOff>15240</xdr:colOff>
      <xdr:row>20</xdr:row>
      <xdr:rowOff>15240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D3E0E2A0-A7B9-4D0B-4885-4E31A75A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33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D1FD9D9-B9C1-B21B-EFD5-1D38D7B8D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7620</xdr:colOff>
      <xdr:row>20</xdr:row>
      <xdr:rowOff>179070</xdr:rowOff>
    </xdr:from>
    <xdr:to>
      <xdr:col>12</xdr:col>
      <xdr:colOff>15240</xdr:colOff>
      <xdr:row>33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E8C606B-4DF5-B8F1-BC90-5960F75EF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3810</xdr:rowOff>
    </xdr:from>
    <xdr:to>
      <xdr:col>5</xdr:col>
      <xdr:colOff>601980</xdr:colOff>
      <xdr:row>45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80853B-1BE5-EB74-5A26-A6F69ADA1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p" refreshedDate="46295.961331481485" createdVersion="8" refreshedVersion="8" minRefreshableVersion="3" recordCount="131" xr:uid="{12090B13-5D79-4084-B9ED-72F1FA5DE596}">
  <cacheSource type="worksheet">
    <worksheetSource name="tbl_FinancialData"/>
  </cacheSource>
  <cacheFields count="16">
    <cacheField name="Date" numFmtId="15">
      <sharedItems containsSemiMixedTypes="0" containsNonDate="0" containsDate="1" containsString="0" minDate="2026-01-05T00:00:00" maxDate="2026-12-30T00:00:00"/>
    </cacheField>
    <cacheField name="Month" numFmtId="0">
      <sharedItems/>
    </cacheField>
    <cacheField name="City" numFmtId="0">
      <sharedItems count="3">
        <s v="Chennai"/>
        <s v="Bangalore"/>
        <s v="Hyderabad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 Sold" numFmtId="0">
      <sharedItems containsSemiMixedTypes="0" containsString="0" containsNumber="1" containsInteger="1" minValue="8" maxValue="72"/>
    </cacheField>
    <cacheField name="Revenue" numFmtId="0">
      <sharedItems containsSemiMixedTypes="0" containsString="0" containsNumber="1" containsInteger="1" minValue="66000" maxValue="1440000"/>
    </cacheField>
    <cacheField name="COGS" numFmtId="0">
      <sharedItems containsSemiMixedTypes="0" containsString="0" containsNumber="1" containsInteger="1" minValue="33000" maxValue="1080000"/>
    </cacheField>
    <cacheField name="Operating Expense" numFmtId="0">
      <sharedItems containsSemiMixedTypes="0" containsString="0" containsNumber="1" containsInteger="1" minValue="9000" maxValue="135000"/>
    </cacheField>
    <cacheField name="Budget Revenue" numFmtId="0">
      <sharedItems containsSemiMixedTypes="0" containsString="0" containsNumber="1" containsInteger="1" minValue="62000" maxValue="1360000"/>
    </cacheField>
    <cacheField name="Budget Expense" numFmtId="0">
      <sharedItems containsSemiMixedTypes="0" containsString="0" containsNumber="1" containsInteger="1" minValue="8500" maxValue="130000"/>
    </cacheField>
    <cacheField name="Gross Profit" numFmtId="0">
      <sharedItems containsSemiMixedTypes="0" containsString="0" containsNumber="1" containsInteger="1" minValue="33000" maxValue="360000"/>
    </cacheField>
    <cacheField name="Gross Margin %" numFmtId="9">
      <sharedItems containsSemiMixedTypes="0" containsString="0" containsNumber="1" minValue="0.25" maxValue="0.5"/>
    </cacheField>
    <cacheField name="Operating Profit" numFmtId="0">
      <sharedItems containsSemiMixedTypes="0" containsString="0" containsNumber="1" containsInteger="1" minValue="21000" maxValue="225000"/>
    </cacheField>
    <cacheField name="Revenue Variance" numFmtId="0">
      <sharedItems containsSemiMixedTypes="0" containsString="0" containsNumber="1" containsInteger="1" minValue="-5000" maxValue="80000"/>
    </cacheField>
    <cacheField name="Revenue Variance %" numFmtId="9">
      <sharedItems containsSemiMixedTypes="0" containsString="0" containsNumber="1" minValue="-6.25E-2" maxValue="9.090909090909091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d v="2026-01-05T00:00:00"/>
    <s v="Jan"/>
    <x v="0"/>
    <s v="Laptop"/>
    <x v="0"/>
    <n v="12"/>
    <n v="720000"/>
    <n v="540000"/>
    <n v="85000"/>
    <n v="700000"/>
    <n v="80000"/>
    <n v="180000"/>
    <n v="0.25"/>
    <n v="95000"/>
    <n v="20000"/>
    <n v="2.8571428571428571E-2"/>
  </r>
  <r>
    <d v="2026-01-08T00:00:00"/>
    <s v="Jan"/>
    <x v="1"/>
    <s v="Headphones"/>
    <x v="0"/>
    <n v="35"/>
    <n v="105000"/>
    <n v="63000"/>
    <n v="18000"/>
    <n v="110000"/>
    <n v="20000"/>
    <n v="42000"/>
    <n v="0.4"/>
    <n v="24000"/>
    <n v="-5000"/>
    <n v="-4.5454545454545456E-2"/>
  </r>
  <r>
    <d v="2026-01-15T00:00:00"/>
    <s v="Jan"/>
    <x v="2"/>
    <s v="Office Chair"/>
    <x v="1"/>
    <n v="18"/>
    <n v="90000"/>
    <n v="54000"/>
    <n v="12000"/>
    <n v="85000"/>
    <n v="10000"/>
    <n v="36000"/>
    <n v="0.4"/>
    <n v="24000"/>
    <n v="5000"/>
    <n v="5.8823529411764705E-2"/>
  </r>
  <r>
    <d v="2026-01-21T00:00:00"/>
    <s v="Jan"/>
    <x v="0"/>
    <s v="Monitor"/>
    <x v="0"/>
    <n v="20"/>
    <n v="240000"/>
    <n v="156000"/>
    <n v="30000"/>
    <n v="220000"/>
    <n v="28000"/>
    <n v="84000"/>
    <n v="0.35"/>
    <n v="54000"/>
    <n v="20000"/>
    <n v="9.0909090909090912E-2"/>
  </r>
  <r>
    <d v="2026-01-25T00:00:00"/>
    <s v="Jan"/>
    <x v="1"/>
    <s v="Desk"/>
    <x v="1"/>
    <n v="10"/>
    <n v="100000"/>
    <n v="60000"/>
    <n v="15000"/>
    <n v="95000"/>
    <n v="14000"/>
    <n v="40000"/>
    <n v="0.4"/>
    <n v="25000"/>
    <n v="5000"/>
    <n v="5.2631578947368418E-2"/>
  </r>
  <r>
    <d v="2026-01-28T00:00:00"/>
    <s v="Jan"/>
    <x v="2"/>
    <s v="Keyboard"/>
    <x v="0"/>
    <n v="25"/>
    <n v="75000"/>
    <n v="37500"/>
    <n v="10000"/>
    <n v="80000"/>
    <n v="9000"/>
    <n v="37500"/>
    <n v="0.5"/>
    <n v="27500"/>
    <n v="-5000"/>
    <n v="-6.25E-2"/>
  </r>
  <r>
    <d v="2026-02-03T00:00:00"/>
    <s v="Feb"/>
    <x v="0"/>
    <s v="Laptop"/>
    <x v="0"/>
    <n v="10"/>
    <n v="600000"/>
    <n v="450000"/>
    <n v="75000"/>
    <n v="580000"/>
    <n v="70000"/>
    <n v="150000"/>
    <n v="0.25"/>
    <n v="75000"/>
    <n v="20000"/>
    <n v="3.4482758620689655E-2"/>
  </r>
  <r>
    <d v="2026-02-07T00:00:00"/>
    <s v="Feb"/>
    <x v="1"/>
    <s v="Office Chair"/>
    <x v="1"/>
    <n v="22"/>
    <n v="110000"/>
    <n v="66000"/>
    <n v="14000"/>
    <n v="105000"/>
    <n v="12000"/>
    <n v="44000"/>
    <n v="0.4"/>
    <n v="30000"/>
    <n v="5000"/>
    <n v="4.7619047619047616E-2"/>
  </r>
  <r>
    <d v="2026-02-14T00:00:00"/>
    <s v="Feb"/>
    <x v="2"/>
    <s v="Monitor"/>
    <x v="0"/>
    <n v="18"/>
    <n v="216000"/>
    <n v="140400"/>
    <n v="26000"/>
    <n v="210000"/>
    <n v="25000"/>
    <n v="75600"/>
    <n v="0.35"/>
    <n v="49600"/>
    <n v="6000"/>
    <n v="2.8571428571428571E-2"/>
  </r>
  <r>
    <d v="2026-02-22T00:00:00"/>
    <s v="Feb"/>
    <x v="0"/>
    <s v="Desk"/>
    <x v="1"/>
    <n v="12"/>
    <n v="120000"/>
    <n v="72000"/>
    <n v="16000"/>
    <n v="115000"/>
    <n v="15000"/>
    <n v="48000"/>
    <n v="0.4"/>
    <n v="32000"/>
    <n v="5000"/>
    <n v="4.3478260869565216E-2"/>
  </r>
  <r>
    <d v="2026-02-26T00:00:00"/>
    <s v="Feb"/>
    <x v="1"/>
    <s v="Keyboard"/>
    <x v="0"/>
    <n v="30"/>
    <n v="90000"/>
    <n v="45000"/>
    <n v="11000"/>
    <n v="85000"/>
    <n v="10000"/>
    <n v="45000"/>
    <n v="0.5"/>
    <n v="34000"/>
    <n v="5000"/>
    <n v="5.8823529411764705E-2"/>
  </r>
  <r>
    <d v="2026-03-03T00:00:00"/>
    <s v="Mar"/>
    <x v="0"/>
    <s v="Laptop"/>
    <x v="0"/>
    <n v="14"/>
    <n v="840000"/>
    <n v="630000"/>
    <n v="90000"/>
    <n v="800000"/>
    <n v="85000"/>
    <n v="210000"/>
    <n v="0.25"/>
    <n v="120000"/>
    <n v="40000"/>
    <n v="0.05"/>
  </r>
  <r>
    <d v="2026-03-06T00:00:00"/>
    <s v="Mar"/>
    <x v="2"/>
    <s v="Office Chair"/>
    <x v="1"/>
    <n v="20"/>
    <n v="100000"/>
    <n v="60000"/>
    <n v="13000"/>
    <n v="95000"/>
    <n v="12000"/>
    <n v="40000"/>
    <n v="0.4"/>
    <n v="27000"/>
    <n v="5000"/>
    <n v="5.2631578947368418E-2"/>
  </r>
  <r>
    <d v="2026-03-11T00:00:00"/>
    <s v="Mar"/>
    <x v="1"/>
    <s v="Monitor"/>
    <x v="0"/>
    <n v="15"/>
    <n v="180000"/>
    <n v="117000"/>
    <n v="22000"/>
    <n v="175000"/>
    <n v="21000"/>
    <n v="63000"/>
    <n v="0.35"/>
    <n v="41000"/>
    <n v="5000"/>
    <n v="2.8571428571428571E-2"/>
  </r>
  <r>
    <d v="2026-03-18T00:00:00"/>
    <s v="Mar"/>
    <x v="0"/>
    <s v="Desk"/>
    <x v="1"/>
    <n v="14"/>
    <n v="140000"/>
    <n v="84000"/>
    <n v="18000"/>
    <n v="135000"/>
    <n v="16000"/>
    <n v="56000"/>
    <n v="0.4"/>
    <n v="38000"/>
    <n v="5000"/>
    <n v="3.7037037037037035E-2"/>
  </r>
  <r>
    <d v="2026-03-25T00:00:00"/>
    <s v="Mar"/>
    <x v="2"/>
    <s v="Headphones"/>
    <x v="0"/>
    <n v="42"/>
    <n v="126000"/>
    <n v="75600"/>
    <n v="19000"/>
    <n v="120000"/>
    <n v="18000"/>
    <n v="50400"/>
    <n v="0.4"/>
    <n v="31400"/>
    <n v="6000"/>
    <n v="0.05"/>
  </r>
  <r>
    <d v="2026-03-29T00:00:00"/>
    <s v="Mar"/>
    <x v="1"/>
    <s v="Keyboard"/>
    <x v="0"/>
    <n v="28"/>
    <n v="84000"/>
    <n v="42000"/>
    <n v="11000"/>
    <n v="80000"/>
    <n v="10000"/>
    <n v="42000"/>
    <n v="0.5"/>
    <n v="31000"/>
    <n v="4000"/>
    <n v="0.05"/>
  </r>
  <r>
    <d v="2026-04-02T00:00:00"/>
    <s v="Apr"/>
    <x v="0"/>
    <s v="Laptop"/>
    <x v="0"/>
    <n v="11"/>
    <n v="660000"/>
    <n v="495000"/>
    <n v="72000"/>
    <n v="650000"/>
    <n v="70000"/>
    <n v="165000"/>
    <n v="0.25"/>
    <n v="93000"/>
    <n v="10000"/>
    <n v="1.5384615384615385E-2"/>
  </r>
  <r>
    <d v="2026-04-08T00:00:00"/>
    <s v="Apr"/>
    <x v="2"/>
    <s v="Office Chair"/>
    <x v="1"/>
    <n v="25"/>
    <n v="125000"/>
    <n v="75000"/>
    <n v="15000"/>
    <n v="120000"/>
    <n v="14000"/>
    <n v="50000"/>
    <n v="0.4"/>
    <n v="35000"/>
    <n v="5000"/>
    <n v="4.1666666666666664E-2"/>
  </r>
  <r>
    <d v="2026-04-14T00:00:00"/>
    <s v="Apr"/>
    <x v="1"/>
    <s v="Monitor"/>
    <x v="0"/>
    <n v="22"/>
    <n v="264000"/>
    <n v="171600"/>
    <n v="28000"/>
    <n v="250000"/>
    <n v="26000"/>
    <n v="92400"/>
    <n v="0.35"/>
    <n v="64400"/>
    <n v="14000"/>
    <n v="5.6000000000000001E-2"/>
  </r>
  <r>
    <d v="2026-04-19T00:00:00"/>
    <s v="Apr"/>
    <x v="0"/>
    <s v="Desk"/>
    <x v="1"/>
    <n v="16"/>
    <n v="160000"/>
    <n v="96000"/>
    <n v="20000"/>
    <n v="150000"/>
    <n v="18000"/>
    <n v="64000"/>
    <n v="0.4"/>
    <n v="44000"/>
    <n v="10000"/>
    <n v="6.6666666666666666E-2"/>
  </r>
  <r>
    <d v="2026-04-26T00:00:00"/>
    <s v="Apr"/>
    <x v="2"/>
    <s v="Keyboard"/>
    <x v="0"/>
    <n v="35"/>
    <n v="105000"/>
    <n v="52500"/>
    <n v="12000"/>
    <n v="100000"/>
    <n v="11000"/>
    <n v="52500"/>
    <n v="0.5"/>
    <n v="40500"/>
    <n v="5000"/>
    <n v="0.05"/>
  </r>
  <r>
    <d v="2026-04-30T00:00:00"/>
    <s v="Apr"/>
    <x v="1"/>
    <s v="Headphones"/>
    <x v="0"/>
    <n v="45"/>
    <n v="135000"/>
    <n v="81000"/>
    <n v="20000"/>
    <n v="130000"/>
    <n v="19000"/>
    <n v="54000"/>
    <n v="0.4"/>
    <n v="34000"/>
    <n v="5000"/>
    <n v="3.8461538461538464E-2"/>
  </r>
  <r>
    <d v="2026-05-04T00:00:00"/>
    <s v="May"/>
    <x v="0"/>
    <s v="Laptop"/>
    <x v="0"/>
    <n v="13"/>
    <n v="780000"/>
    <n v="585000"/>
    <n v="88000"/>
    <n v="750000"/>
    <n v="82000"/>
    <n v="195000"/>
    <n v="0.25"/>
    <n v="107000"/>
    <n v="30000"/>
    <n v="0.04"/>
  </r>
  <r>
    <d v="2026-05-09T00:00:00"/>
    <s v="May"/>
    <x v="1"/>
    <s v="Office Chair"/>
    <x v="1"/>
    <n v="24"/>
    <n v="120000"/>
    <n v="72000"/>
    <n v="15000"/>
    <n v="115000"/>
    <n v="14000"/>
    <n v="48000"/>
    <n v="0.4"/>
    <n v="33000"/>
    <n v="5000"/>
    <n v="4.3478260869565216E-2"/>
  </r>
  <r>
    <d v="2026-05-15T00:00:00"/>
    <s v="May"/>
    <x v="2"/>
    <s v="Monitor"/>
    <x v="0"/>
    <n v="20"/>
    <n v="240000"/>
    <n v="156000"/>
    <n v="25000"/>
    <n v="230000"/>
    <n v="24000"/>
    <n v="84000"/>
    <n v="0.35"/>
    <n v="59000"/>
    <n v="10000"/>
    <n v="4.3478260869565216E-2"/>
  </r>
  <r>
    <d v="2026-05-20T00:00:00"/>
    <s v="May"/>
    <x v="0"/>
    <s v="Desk"/>
    <x v="1"/>
    <n v="18"/>
    <n v="180000"/>
    <n v="108000"/>
    <n v="21000"/>
    <n v="170000"/>
    <n v="19000"/>
    <n v="72000"/>
    <n v="0.4"/>
    <n v="51000"/>
    <n v="10000"/>
    <n v="5.8823529411764705E-2"/>
  </r>
  <r>
    <d v="2026-05-27T00:00:00"/>
    <s v="May"/>
    <x v="1"/>
    <s v="Keyboard"/>
    <x v="0"/>
    <n v="32"/>
    <n v="96000"/>
    <n v="48000"/>
    <n v="12000"/>
    <n v="90000"/>
    <n v="11000"/>
    <n v="48000"/>
    <n v="0.5"/>
    <n v="36000"/>
    <n v="6000"/>
    <n v="6.6666666666666666E-2"/>
  </r>
  <r>
    <d v="2026-05-30T00:00:00"/>
    <s v="May"/>
    <x v="2"/>
    <s v="Headphones"/>
    <x v="0"/>
    <n v="48"/>
    <n v="144000"/>
    <n v="86400"/>
    <n v="22000"/>
    <n v="140000"/>
    <n v="20000"/>
    <n v="57600"/>
    <n v="0.4"/>
    <n v="35600"/>
    <n v="4000"/>
    <n v="2.8571428571428571E-2"/>
  </r>
  <r>
    <d v="2026-06-03T00:00:00"/>
    <s v="Jun"/>
    <x v="0"/>
    <s v="Laptop"/>
    <x v="0"/>
    <n v="15"/>
    <n v="900000"/>
    <n v="675000"/>
    <n v="95000"/>
    <n v="850000"/>
    <n v="90000"/>
    <n v="225000"/>
    <n v="0.25"/>
    <n v="130000"/>
    <n v="50000"/>
    <n v="5.8823529411764705E-2"/>
  </r>
  <r>
    <d v="2026-06-08T00:00:00"/>
    <s v="Jun"/>
    <x v="1"/>
    <s v="Office Chair"/>
    <x v="1"/>
    <n v="28"/>
    <n v="140000"/>
    <n v="84000"/>
    <n v="17000"/>
    <n v="130000"/>
    <n v="16000"/>
    <n v="56000"/>
    <n v="0.4"/>
    <n v="39000"/>
    <n v="10000"/>
    <n v="7.6923076923076927E-2"/>
  </r>
  <r>
    <d v="2026-06-13T00:00:00"/>
    <s v="Jun"/>
    <x v="2"/>
    <s v="Monitor"/>
    <x v="0"/>
    <n v="24"/>
    <n v="288000"/>
    <n v="187200"/>
    <n v="30000"/>
    <n v="275000"/>
    <n v="28000"/>
    <n v="100800"/>
    <n v="0.35"/>
    <n v="70800"/>
    <n v="13000"/>
    <n v="4.7272727272727272E-2"/>
  </r>
  <r>
    <d v="2026-06-18T00:00:00"/>
    <s v="Jun"/>
    <x v="0"/>
    <s v="Desk"/>
    <x v="1"/>
    <n v="20"/>
    <n v="200000"/>
    <n v="120000"/>
    <n v="23000"/>
    <n v="190000"/>
    <n v="22000"/>
    <n v="80000"/>
    <n v="0.4"/>
    <n v="57000"/>
    <n v="10000"/>
    <n v="5.2631578947368418E-2"/>
  </r>
  <r>
    <d v="2026-06-24T00:00:00"/>
    <s v="Jun"/>
    <x v="1"/>
    <s v="Keyboard"/>
    <x v="0"/>
    <n v="40"/>
    <n v="120000"/>
    <n v="60000"/>
    <n v="14000"/>
    <n v="115000"/>
    <n v="13000"/>
    <n v="60000"/>
    <n v="0.5"/>
    <n v="46000"/>
    <n v="5000"/>
    <n v="4.3478260869565216E-2"/>
  </r>
  <r>
    <d v="2026-06-29T00:00:00"/>
    <s v="Jun"/>
    <x v="2"/>
    <s v="Headphones"/>
    <x v="0"/>
    <n v="50"/>
    <n v="150000"/>
    <n v="90000"/>
    <n v="24000"/>
    <n v="145000"/>
    <n v="22000"/>
    <n v="60000"/>
    <n v="0.4"/>
    <n v="36000"/>
    <n v="5000"/>
    <n v="3.4482758620689655E-2"/>
  </r>
  <r>
    <d v="2026-07-02T00:00:00"/>
    <s v="Jul"/>
    <x v="0"/>
    <s v="Laptop"/>
    <x v="0"/>
    <n v="16"/>
    <n v="960000"/>
    <n v="720000"/>
    <n v="100000"/>
    <n v="920000"/>
    <n v="95000"/>
    <n v="240000"/>
    <n v="0.25"/>
    <n v="140000"/>
    <n v="40000"/>
    <n v="4.3478260869565216E-2"/>
  </r>
  <r>
    <d v="2026-07-07T00:00:00"/>
    <s v="Jul"/>
    <x v="1"/>
    <s v="Office Chair"/>
    <x v="1"/>
    <n v="30"/>
    <n v="150000"/>
    <n v="90000"/>
    <n v="18000"/>
    <n v="140000"/>
    <n v="17000"/>
    <n v="60000"/>
    <n v="0.4"/>
    <n v="42000"/>
    <n v="10000"/>
    <n v="7.1428571428571425E-2"/>
  </r>
  <r>
    <d v="2026-07-12T00:00:00"/>
    <s v="Jul"/>
    <x v="2"/>
    <s v="Monitor"/>
    <x v="0"/>
    <n v="26"/>
    <n v="312000"/>
    <n v="202800"/>
    <n v="32000"/>
    <n v="300000"/>
    <n v="30000"/>
    <n v="109200"/>
    <n v="0.35"/>
    <n v="77200"/>
    <n v="12000"/>
    <n v="0.04"/>
  </r>
  <r>
    <d v="2026-07-18T00:00:00"/>
    <s v="Jul"/>
    <x v="0"/>
    <s v="Desk"/>
    <x v="1"/>
    <n v="22"/>
    <n v="220000"/>
    <n v="132000"/>
    <n v="25000"/>
    <n v="210000"/>
    <n v="24000"/>
    <n v="88000"/>
    <n v="0.4"/>
    <n v="63000"/>
    <n v="10000"/>
    <n v="4.7619047619047616E-2"/>
  </r>
  <r>
    <d v="2026-07-24T00:00:00"/>
    <s v="Jul"/>
    <x v="1"/>
    <s v="Keyboard"/>
    <x v="0"/>
    <n v="44"/>
    <n v="132000"/>
    <n v="66000"/>
    <n v="15000"/>
    <n v="125000"/>
    <n v="14000"/>
    <n v="66000"/>
    <n v="0.5"/>
    <n v="51000"/>
    <n v="7000"/>
    <n v="5.6000000000000001E-2"/>
  </r>
  <r>
    <d v="2026-07-29T00:00:00"/>
    <s v="Jul"/>
    <x v="2"/>
    <s v="Headphones"/>
    <x v="0"/>
    <n v="55"/>
    <n v="165000"/>
    <n v="99000"/>
    <n v="26000"/>
    <n v="155000"/>
    <n v="24000"/>
    <n v="66000"/>
    <n v="0.4"/>
    <n v="40000"/>
    <n v="10000"/>
    <n v="6.4516129032258063E-2"/>
  </r>
  <r>
    <d v="2026-08-03T00:00:00"/>
    <s v="Aug"/>
    <x v="0"/>
    <s v="Laptop"/>
    <x v="0"/>
    <n v="18"/>
    <n v="1080000"/>
    <n v="810000"/>
    <n v="110000"/>
    <n v="1020000"/>
    <n v="105000"/>
    <n v="270000"/>
    <n v="0.25"/>
    <n v="160000"/>
    <n v="60000"/>
    <n v="5.8823529411764705E-2"/>
  </r>
  <r>
    <d v="2026-08-08T00:00:00"/>
    <s v="Aug"/>
    <x v="1"/>
    <s v="Office Chair"/>
    <x v="1"/>
    <n v="32"/>
    <n v="160000"/>
    <n v="96000"/>
    <n v="19000"/>
    <n v="150000"/>
    <n v="18000"/>
    <n v="64000"/>
    <n v="0.4"/>
    <n v="45000"/>
    <n v="10000"/>
    <n v="6.6666666666666666E-2"/>
  </r>
  <r>
    <d v="2026-08-14T00:00:00"/>
    <s v="Aug"/>
    <x v="2"/>
    <s v="Monitor"/>
    <x v="0"/>
    <n v="28"/>
    <n v="336000"/>
    <n v="218400"/>
    <n v="34000"/>
    <n v="320000"/>
    <n v="32000"/>
    <n v="117600"/>
    <n v="0.35"/>
    <n v="83600"/>
    <n v="16000"/>
    <n v="0.05"/>
  </r>
  <r>
    <d v="2026-08-19T00:00:00"/>
    <s v="Aug"/>
    <x v="0"/>
    <s v="Desk"/>
    <x v="1"/>
    <n v="24"/>
    <n v="240000"/>
    <n v="144000"/>
    <n v="27000"/>
    <n v="225000"/>
    <n v="25000"/>
    <n v="96000"/>
    <n v="0.4"/>
    <n v="69000"/>
    <n v="15000"/>
    <n v="6.6666666666666666E-2"/>
  </r>
  <r>
    <d v="2026-08-25T00:00:00"/>
    <s v="Aug"/>
    <x v="1"/>
    <s v="Keyboard"/>
    <x v="0"/>
    <n v="48"/>
    <n v="144000"/>
    <n v="72000"/>
    <n v="16000"/>
    <n v="138000"/>
    <n v="15000"/>
    <n v="72000"/>
    <n v="0.5"/>
    <n v="56000"/>
    <n v="6000"/>
    <n v="4.3478260869565216E-2"/>
  </r>
  <r>
    <d v="2026-08-30T00:00:00"/>
    <s v="Aug"/>
    <x v="2"/>
    <s v="Headphones"/>
    <x v="0"/>
    <n v="60"/>
    <n v="180000"/>
    <n v="108000"/>
    <n v="28000"/>
    <n v="170000"/>
    <n v="26000"/>
    <n v="72000"/>
    <n v="0.4"/>
    <n v="44000"/>
    <n v="10000"/>
    <n v="5.8823529411764705E-2"/>
  </r>
  <r>
    <d v="2026-09-03T00:00:00"/>
    <s v="Sep"/>
    <x v="0"/>
    <s v="Laptop"/>
    <x v="0"/>
    <n v="17"/>
    <n v="1020000"/>
    <n v="765000"/>
    <n v="105000"/>
    <n v="980000"/>
    <n v="100000"/>
    <n v="255000"/>
    <n v="0.25"/>
    <n v="150000"/>
    <n v="40000"/>
    <n v="4.0816326530612242E-2"/>
  </r>
  <r>
    <d v="2026-09-08T00:00:00"/>
    <s v="Sep"/>
    <x v="1"/>
    <s v="Office Chair"/>
    <x v="1"/>
    <n v="29"/>
    <n v="145000"/>
    <n v="87000"/>
    <n v="18000"/>
    <n v="138000"/>
    <n v="17000"/>
    <n v="58000"/>
    <n v="0.4"/>
    <n v="40000"/>
    <n v="7000"/>
    <n v="5.0724637681159424E-2"/>
  </r>
  <r>
    <d v="2026-09-14T00:00:00"/>
    <s v="Sep"/>
    <x v="2"/>
    <s v="Monitor"/>
    <x v="0"/>
    <n v="25"/>
    <n v="300000"/>
    <n v="195000"/>
    <n v="31000"/>
    <n v="285000"/>
    <n v="30000"/>
    <n v="105000"/>
    <n v="0.35"/>
    <n v="74000"/>
    <n v="15000"/>
    <n v="5.2631578947368418E-2"/>
  </r>
  <r>
    <d v="2026-09-19T00:00:00"/>
    <s v="Sep"/>
    <x v="0"/>
    <s v="Desk"/>
    <x v="1"/>
    <n v="21"/>
    <n v="210000"/>
    <n v="126000"/>
    <n v="24000"/>
    <n v="200000"/>
    <n v="22000"/>
    <n v="84000"/>
    <n v="0.4"/>
    <n v="60000"/>
    <n v="10000"/>
    <n v="0.05"/>
  </r>
  <r>
    <d v="2026-09-24T00:00:00"/>
    <s v="Sep"/>
    <x v="1"/>
    <s v="Keyboard"/>
    <x v="0"/>
    <n v="46"/>
    <n v="138000"/>
    <n v="69000"/>
    <n v="15000"/>
    <n v="130000"/>
    <n v="14000"/>
    <n v="69000"/>
    <n v="0.5"/>
    <n v="54000"/>
    <n v="8000"/>
    <n v="6.1538461538461542E-2"/>
  </r>
  <r>
    <d v="2026-09-29T00:00:00"/>
    <s v="Sep"/>
    <x v="2"/>
    <s v="Headphones"/>
    <x v="0"/>
    <n v="52"/>
    <n v="156000"/>
    <n v="93600"/>
    <n v="25000"/>
    <n v="150000"/>
    <n v="23000"/>
    <n v="62400"/>
    <n v="0.4"/>
    <n v="37400"/>
    <n v="6000"/>
    <n v="0.04"/>
  </r>
  <r>
    <d v="2026-10-03T00:00:00"/>
    <s v="Oct"/>
    <x v="0"/>
    <s v="Laptop"/>
    <x v="0"/>
    <n v="19"/>
    <n v="1140000"/>
    <n v="855000"/>
    <n v="115000"/>
    <n v="1080000"/>
    <n v="110000"/>
    <n v="285000"/>
    <n v="0.25"/>
    <n v="170000"/>
    <n v="60000"/>
    <n v="5.5555555555555552E-2"/>
  </r>
  <r>
    <d v="2026-10-08T00:00:00"/>
    <s v="Oct"/>
    <x v="1"/>
    <s v="Office Chair"/>
    <x v="1"/>
    <n v="34"/>
    <n v="170000"/>
    <n v="102000"/>
    <n v="20000"/>
    <n v="160000"/>
    <n v="19000"/>
    <n v="68000"/>
    <n v="0.4"/>
    <n v="48000"/>
    <n v="10000"/>
    <n v="6.25E-2"/>
  </r>
  <r>
    <d v="2026-10-14T00:00:00"/>
    <s v="Oct"/>
    <x v="2"/>
    <s v="Monitor"/>
    <x v="0"/>
    <n v="30"/>
    <n v="360000"/>
    <n v="234000"/>
    <n v="35000"/>
    <n v="340000"/>
    <n v="33000"/>
    <n v="126000"/>
    <n v="0.35"/>
    <n v="91000"/>
    <n v="20000"/>
    <n v="5.8823529411764705E-2"/>
  </r>
  <r>
    <d v="2026-10-19T00:00:00"/>
    <s v="Oct"/>
    <x v="0"/>
    <s v="Desk"/>
    <x v="1"/>
    <n v="26"/>
    <n v="260000"/>
    <n v="156000"/>
    <n v="28000"/>
    <n v="245000"/>
    <n v="26000"/>
    <n v="104000"/>
    <n v="0.4"/>
    <n v="76000"/>
    <n v="15000"/>
    <n v="6.1224489795918366E-2"/>
  </r>
  <r>
    <d v="2026-10-24T00:00:00"/>
    <s v="Oct"/>
    <x v="1"/>
    <s v="Keyboard"/>
    <x v="0"/>
    <n v="50"/>
    <n v="150000"/>
    <n v="75000"/>
    <n v="17000"/>
    <n v="142000"/>
    <n v="16000"/>
    <n v="75000"/>
    <n v="0.5"/>
    <n v="58000"/>
    <n v="8000"/>
    <n v="5.6338028169014086E-2"/>
  </r>
  <r>
    <d v="2026-10-29T00:00:00"/>
    <s v="Oct"/>
    <x v="2"/>
    <s v="Headphones"/>
    <x v="0"/>
    <n v="62"/>
    <n v="186000"/>
    <n v="111600"/>
    <n v="30000"/>
    <n v="175000"/>
    <n v="28000"/>
    <n v="74400"/>
    <n v="0.4"/>
    <n v="44400"/>
    <n v="11000"/>
    <n v="6.2857142857142861E-2"/>
  </r>
  <r>
    <d v="2026-11-03T00:00:00"/>
    <s v="Nov"/>
    <x v="0"/>
    <s v="Laptop"/>
    <x v="0"/>
    <n v="20"/>
    <n v="1200000"/>
    <n v="900000"/>
    <n v="120000"/>
    <n v="1150000"/>
    <n v="115000"/>
    <n v="300000"/>
    <n v="0.25"/>
    <n v="180000"/>
    <n v="50000"/>
    <n v="4.3478260869565216E-2"/>
  </r>
  <r>
    <d v="2026-11-08T00:00:00"/>
    <s v="Nov"/>
    <x v="1"/>
    <s v="Office Chair"/>
    <x v="1"/>
    <n v="36"/>
    <n v="180000"/>
    <n v="108000"/>
    <n v="21000"/>
    <n v="170000"/>
    <n v="20000"/>
    <n v="72000"/>
    <n v="0.4"/>
    <n v="51000"/>
    <n v="10000"/>
    <n v="5.8823529411764705E-2"/>
  </r>
  <r>
    <d v="2026-11-14T00:00:00"/>
    <s v="Nov"/>
    <x v="2"/>
    <s v="Monitor"/>
    <x v="0"/>
    <n v="32"/>
    <n v="384000"/>
    <n v="249600"/>
    <n v="37000"/>
    <n v="365000"/>
    <n v="35000"/>
    <n v="134400"/>
    <n v="0.35"/>
    <n v="97400"/>
    <n v="19000"/>
    <n v="5.2054794520547946E-2"/>
  </r>
  <r>
    <d v="2026-11-19T00:00:00"/>
    <s v="Nov"/>
    <x v="0"/>
    <s v="Desk"/>
    <x v="1"/>
    <n v="28"/>
    <n v="280000"/>
    <n v="168000"/>
    <n v="30000"/>
    <n v="265000"/>
    <n v="28000"/>
    <n v="112000"/>
    <n v="0.4"/>
    <n v="82000"/>
    <n v="15000"/>
    <n v="5.6603773584905662E-2"/>
  </r>
  <r>
    <d v="2026-11-24T00:00:00"/>
    <s v="Nov"/>
    <x v="1"/>
    <s v="Keyboard"/>
    <x v="0"/>
    <n v="52"/>
    <n v="156000"/>
    <n v="78000"/>
    <n v="18000"/>
    <n v="148000"/>
    <n v="17000"/>
    <n v="78000"/>
    <n v="0.5"/>
    <n v="60000"/>
    <n v="8000"/>
    <n v="5.4054054054054057E-2"/>
  </r>
  <r>
    <d v="2026-11-29T00:00:00"/>
    <s v="Nov"/>
    <x v="2"/>
    <s v="Headphones"/>
    <x v="0"/>
    <n v="65"/>
    <n v="195000"/>
    <n v="117000"/>
    <n v="32000"/>
    <n v="185000"/>
    <n v="30000"/>
    <n v="78000"/>
    <n v="0.4"/>
    <n v="46000"/>
    <n v="10000"/>
    <n v="5.4054054054054057E-2"/>
  </r>
  <r>
    <d v="2026-12-03T00:00:00"/>
    <s v="Dec"/>
    <x v="0"/>
    <s v="Laptop"/>
    <x v="0"/>
    <n v="22"/>
    <n v="1320000"/>
    <n v="990000"/>
    <n v="130000"/>
    <n v="1250000"/>
    <n v="125000"/>
    <n v="330000"/>
    <n v="0.25"/>
    <n v="200000"/>
    <n v="70000"/>
    <n v="5.6000000000000001E-2"/>
  </r>
  <r>
    <d v="2026-12-08T00:00:00"/>
    <s v="Dec"/>
    <x v="1"/>
    <s v="Office Chair"/>
    <x v="1"/>
    <n v="38"/>
    <n v="190000"/>
    <n v="114000"/>
    <n v="22000"/>
    <n v="180000"/>
    <n v="21000"/>
    <n v="76000"/>
    <n v="0.4"/>
    <n v="54000"/>
    <n v="10000"/>
    <n v="5.5555555555555552E-2"/>
  </r>
  <r>
    <d v="2026-12-14T00:00:00"/>
    <s v="Dec"/>
    <x v="2"/>
    <s v="Monitor"/>
    <x v="0"/>
    <n v="34"/>
    <n v="408000"/>
    <n v="265200"/>
    <n v="39000"/>
    <n v="390000"/>
    <n v="37000"/>
    <n v="142800"/>
    <n v="0.35"/>
    <n v="103800"/>
    <n v="18000"/>
    <n v="4.6153846153846156E-2"/>
  </r>
  <r>
    <d v="2026-12-19T00:00:00"/>
    <s v="Dec"/>
    <x v="0"/>
    <s v="Desk"/>
    <x v="1"/>
    <n v="30"/>
    <n v="300000"/>
    <n v="180000"/>
    <n v="32000"/>
    <n v="285000"/>
    <n v="30000"/>
    <n v="120000"/>
    <n v="0.4"/>
    <n v="88000"/>
    <n v="15000"/>
    <n v="5.2631578947368418E-2"/>
  </r>
  <r>
    <d v="2026-12-24T00:00:00"/>
    <s v="Dec"/>
    <x v="1"/>
    <s v="Keyboard"/>
    <x v="0"/>
    <n v="55"/>
    <n v="165000"/>
    <n v="82500"/>
    <n v="19000"/>
    <n v="158000"/>
    <n v="18000"/>
    <n v="82500"/>
    <n v="0.5"/>
    <n v="63500"/>
    <n v="7000"/>
    <n v="4.4303797468354431E-2"/>
  </r>
  <r>
    <d v="2026-12-29T00:00:00"/>
    <s v="Dec"/>
    <x v="2"/>
    <s v="Headphones"/>
    <x v="0"/>
    <n v="70"/>
    <n v="210000"/>
    <n v="126000"/>
    <n v="35000"/>
    <n v="200000"/>
    <n v="32000"/>
    <n v="84000"/>
    <n v="0.4"/>
    <n v="49000"/>
    <n v="10000"/>
    <n v="0.05"/>
  </r>
  <r>
    <d v="2026-01-05T00:00:00"/>
    <s v="Jan"/>
    <x v="0"/>
    <s v="Laptop"/>
    <x v="0"/>
    <n v="8"/>
    <n v="480000"/>
    <n v="360000"/>
    <n v="60000"/>
    <n v="470000"/>
    <n v="58000"/>
    <n v="120000"/>
    <n v="0.25"/>
    <n v="60000"/>
    <n v="10000"/>
    <n v="2.1276595744680851E-2"/>
  </r>
  <r>
    <d v="2026-01-10T00:00:00"/>
    <s v="Jan"/>
    <x v="1"/>
    <s v="Monitor"/>
    <x v="0"/>
    <n v="12"/>
    <n v="144000"/>
    <n v="93600"/>
    <n v="18000"/>
    <n v="140000"/>
    <n v="17000"/>
    <n v="50400"/>
    <n v="0.35"/>
    <n v="32400"/>
    <n v="4000"/>
    <n v="2.8571428571428571E-2"/>
  </r>
  <r>
    <d v="2026-01-16T00:00:00"/>
    <s v="Jan"/>
    <x v="2"/>
    <s v="Desk"/>
    <x v="1"/>
    <n v="9"/>
    <n v="90000"/>
    <n v="54000"/>
    <n v="12000"/>
    <n v="85000"/>
    <n v="11000"/>
    <n v="36000"/>
    <n v="0.4"/>
    <n v="24000"/>
    <n v="5000"/>
    <n v="5.8823529411764705E-2"/>
  </r>
  <r>
    <d v="2026-01-22T00:00:00"/>
    <s v="Jan"/>
    <x v="0"/>
    <s v="Keyboard"/>
    <x v="0"/>
    <n v="22"/>
    <n v="66000"/>
    <n v="33000"/>
    <n v="9000"/>
    <n v="62000"/>
    <n v="8500"/>
    <n v="33000"/>
    <n v="0.5"/>
    <n v="24000"/>
    <n v="4000"/>
    <n v="6.4516129032258063E-2"/>
  </r>
  <r>
    <d v="2026-01-27T00:00:00"/>
    <s v="Jan"/>
    <x v="1"/>
    <s v="Headphones"/>
    <x v="0"/>
    <n v="30"/>
    <n v="90000"/>
    <n v="54000"/>
    <n v="15000"/>
    <n v="85000"/>
    <n v="14000"/>
    <n v="36000"/>
    <n v="0.4"/>
    <n v="21000"/>
    <n v="5000"/>
    <n v="5.8823529411764705E-2"/>
  </r>
  <r>
    <d v="2026-02-05T00:00:00"/>
    <s v="Feb"/>
    <x v="0"/>
    <s v="Laptop"/>
    <x v="0"/>
    <n v="9"/>
    <n v="540000"/>
    <n v="405000"/>
    <n v="65000"/>
    <n v="520000"/>
    <n v="62000"/>
    <n v="135000"/>
    <n v="0.25"/>
    <n v="70000"/>
    <n v="20000"/>
    <n v="3.8461538461538464E-2"/>
  </r>
  <r>
    <d v="2026-02-10T00:00:00"/>
    <s v="Feb"/>
    <x v="1"/>
    <s v="Monitor"/>
    <x v="0"/>
    <n v="14"/>
    <n v="168000"/>
    <n v="109200"/>
    <n v="19000"/>
    <n v="160000"/>
    <n v="18000"/>
    <n v="58800"/>
    <n v="0.35"/>
    <n v="39800"/>
    <n v="8000"/>
    <n v="0.05"/>
  </r>
  <r>
    <d v="2026-02-16T00:00:00"/>
    <s v="Feb"/>
    <x v="2"/>
    <s v="Desk"/>
    <x v="1"/>
    <n v="11"/>
    <n v="110000"/>
    <n v="66000"/>
    <n v="13000"/>
    <n v="105000"/>
    <n v="12000"/>
    <n v="44000"/>
    <n v="0.4"/>
    <n v="31000"/>
    <n v="5000"/>
    <n v="4.7619047619047616E-2"/>
  </r>
  <r>
    <d v="2026-02-22T00:00:00"/>
    <s v="Feb"/>
    <x v="0"/>
    <s v="Keyboard"/>
    <x v="0"/>
    <n v="25"/>
    <n v="75000"/>
    <n v="37500"/>
    <n v="10000"/>
    <n v="72000"/>
    <n v="9500"/>
    <n v="37500"/>
    <n v="0.5"/>
    <n v="27500"/>
    <n v="3000"/>
    <n v="4.1666666666666664E-2"/>
  </r>
  <r>
    <d v="2026-02-27T00:00:00"/>
    <s v="Feb"/>
    <x v="1"/>
    <s v="Headphones"/>
    <x v="0"/>
    <n v="33"/>
    <n v="99000"/>
    <n v="59400"/>
    <n v="16000"/>
    <n v="95000"/>
    <n v="15000"/>
    <n v="39600"/>
    <n v="0.4"/>
    <n v="23600"/>
    <n v="4000"/>
    <n v="4.2105263157894736E-2"/>
  </r>
  <r>
    <d v="2026-03-05T00:00:00"/>
    <s v="Mar"/>
    <x v="0"/>
    <s v="Laptop"/>
    <x v="0"/>
    <n v="12"/>
    <n v="720000"/>
    <n v="540000"/>
    <n v="80000"/>
    <n v="690000"/>
    <n v="76000"/>
    <n v="180000"/>
    <n v="0.25"/>
    <n v="100000"/>
    <n v="30000"/>
    <n v="4.3478260869565216E-2"/>
  </r>
  <r>
    <d v="2026-03-10T00:00:00"/>
    <s v="Mar"/>
    <x v="1"/>
    <s v="Monitor"/>
    <x v="0"/>
    <n v="16"/>
    <n v="192000"/>
    <n v="124800"/>
    <n v="21000"/>
    <n v="180000"/>
    <n v="20000"/>
    <n v="67200"/>
    <n v="0.35"/>
    <n v="46200"/>
    <n v="12000"/>
    <n v="6.6666666666666666E-2"/>
  </r>
  <r>
    <d v="2026-03-16T00:00:00"/>
    <s v="Mar"/>
    <x v="2"/>
    <s v="Desk"/>
    <x v="1"/>
    <n v="13"/>
    <n v="130000"/>
    <n v="78000"/>
    <n v="15000"/>
    <n v="125000"/>
    <n v="14000"/>
    <n v="52000"/>
    <n v="0.4"/>
    <n v="37000"/>
    <n v="5000"/>
    <n v="0.04"/>
  </r>
  <r>
    <d v="2026-03-22T00:00:00"/>
    <s v="Mar"/>
    <x v="0"/>
    <s v="Keyboard"/>
    <x v="0"/>
    <n v="27"/>
    <n v="81000"/>
    <n v="40500"/>
    <n v="10500"/>
    <n v="78000"/>
    <n v="10000"/>
    <n v="40500"/>
    <n v="0.5"/>
    <n v="30000"/>
    <n v="3000"/>
    <n v="3.8461538461538464E-2"/>
  </r>
  <r>
    <d v="2026-03-27T00:00:00"/>
    <s v="Mar"/>
    <x v="1"/>
    <s v="Headphones"/>
    <x v="0"/>
    <n v="36"/>
    <n v="108000"/>
    <n v="64800"/>
    <n v="17000"/>
    <n v="103000"/>
    <n v="16000"/>
    <n v="43200"/>
    <n v="0.4"/>
    <n v="26200"/>
    <n v="5000"/>
    <n v="4.8543689320388349E-2"/>
  </r>
  <r>
    <d v="2026-04-05T00:00:00"/>
    <s v="Apr"/>
    <x v="0"/>
    <s v="Laptop"/>
    <x v="0"/>
    <n v="13"/>
    <n v="780000"/>
    <n v="585000"/>
    <n v="85000"/>
    <n v="750000"/>
    <n v="80000"/>
    <n v="195000"/>
    <n v="0.25"/>
    <n v="110000"/>
    <n v="30000"/>
    <n v="0.04"/>
  </r>
  <r>
    <d v="2026-04-10T00:00:00"/>
    <s v="Apr"/>
    <x v="1"/>
    <s v="Monitor"/>
    <x v="0"/>
    <n v="18"/>
    <n v="216000"/>
    <n v="140400"/>
    <n v="23000"/>
    <n v="205000"/>
    <n v="22000"/>
    <n v="75600"/>
    <n v="0.35"/>
    <n v="52600"/>
    <n v="11000"/>
    <n v="5.3658536585365853E-2"/>
  </r>
  <r>
    <d v="2026-04-16T00:00:00"/>
    <s v="Apr"/>
    <x v="2"/>
    <s v="Desk"/>
    <x v="1"/>
    <n v="15"/>
    <n v="150000"/>
    <n v="90000"/>
    <n v="17000"/>
    <n v="145000"/>
    <n v="16000"/>
    <n v="60000"/>
    <n v="0.4"/>
    <n v="43000"/>
    <n v="5000"/>
    <n v="3.4482758620689655E-2"/>
  </r>
  <r>
    <d v="2026-04-22T00:00:00"/>
    <s v="Apr"/>
    <x v="0"/>
    <s v="Keyboard"/>
    <x v="0"/>
    <n v="29"/>
    <n v="87000"/>
    <n v="43500"/>
    <n v="11000"/>
    <n v="83000"/>
    <n v="10500"/>
    <n v="43500"/>
    <n v="0.5"/>
    <n v="32500"/>
    <n v="4000"/>
    <n v="4.8192771084337352E-2"/>
  </r>
  <r>
    <d v="2026-04-27T00:00:00"/>
    <s v="Apr"/>
    <x v="1"/>
    <s v="Headphones"/>
    <x v="0"/>
    <n v="40"/>
    <n v="120000"/>
    <n v="72000"/>
    <n v="19000"/>
    <n v="115000"/>
    <n v="18000"/>
    <n v="48000"/>
    <n v="0.4"/>
    <n v="29000"/>
    <n v="5000"/>
    <n v="4.3478260869565216E-2"/>
  </r>
  <r>
    <d v="2026-05-05T00:00:00"/>
    <s v="May"/>
    <x v="0"/>
    <s v="Laptop"/>
    <x v="0"/>
    <n v="14"/>
    <n v="840000"/>
    <n v="630000"/>
    <n v="90000"/>
    <n v="800000"/>
    <n v="85000"/>
    <n v="210000"/>
    <n v="0.25"/>
    <n v="120000"/>
    <n v="40000"/>
    <n v="0.05"/>
  </r>
  <r>
    <d v="2026-05-10T00:00:00"/>
    <s v="May"/>
    <x v="1"/>
    <s v="Monitor"/>
    <x v="0"/>
    <n v="20"/>
    <n v="240000"/>
    <n v="156000"/>
    <n v="25000"/>
    <n v="230000"/>
    <n v="24000"/>
    <n v="84000"/>
    <n v="0.35"/>
    <n v="59000"/>
    <n v="10000"/>
    <n v="4.3478260869565216E-2"/>
  </r>
  <r>
    <d v="2026-05-16T00:00:00"/>
    <s v="May"/>
    <x v="2"/>
    <s v="Desk"/>
    <x v="1"/>
    <n v="17"/>
    <n v="170000"/>
    <n v="102000"/>
    <n v="19000"/>
    <n v="160000"/>
    <n v="18000"/>
    <n v="68000"/>
    <n v="0.4"/>
    <n v="49000"/>
    <n v="10000"/>
    <n v="6.25E-2"/>
  </r>
  <r>
    <d v="2026-05-22T00:00:00"/>
    <s v="May"/>
    <x v="0"/>
    <s v="Keyboard"/>
    <x v="0"/>
    <n v="31"/>
    <n v="93000"/>
    <n v="46500"/>
    <n v="12000"/>
    <n v="89000"/>
    <n v="11000"/>
    <n v="46500"/>
    <n v="0.5"/>
    <n v="34500"/>
    <n v="4000"/>
    <n v="4.49438202247191E-2"/>
  </r>
  <r>
    <d v="2026-05-27T00:00:00"/>
    <s v="May"/>
    <x v="1"/>
    <s v="Headphones"/>
    <x v="0"/>
    <n v="44"/>
    <n v="132000"/>
    <n v="79200"/>
    <n v="21000"/>
    <n v="125000"/>
    <n v="20000"/>
    <n v="52800"/>
    <n v="0.4"/>
    <n v="31800"/>
    <n v="7000"/>
    <n v="5.6000000000000001E-2"/>
  </r>
  <r>
    <d v="2026-06-05T00:00:00"/>
    <s v="Jun"/>
    <x v="0"/>
    <s v="Laptop"/>
    <x v="0"/>
    <n v="16"/>
    <n v="960000"/>
    <n v="720000"/>
    <n v="98000"/>
    <n v="900000"/>
    <n v="93000"/>
    <n v="240000"/>
    <n v="0.25"/>
    <n v="142000"/>
    <n v="60000"/>
    <n v="6.6666666666666666E-2"/>
  </r>
  <r>
    <d v="2026-06-10T00:00:00"/>
    <s v="Jun"/>
    <x v="1"/>
    <s v="Monitor"/>
    <x v="0"/>
    <n v="22"/>
    <n v="264000"/>
    <n v="171600"/>
    <n v="27000"/>
    <n v="250000"/>
    <n v="26000"/>
    <n v="92400"/>
    <n v="0.35"/>
    <n v="65400"/>
    <n v="14000"/>
    <n v="5.6000000000000001E-2"/>
  </r>
  <r>
    <d v="2026-06-16T00:00:00"/>
    <s v="Jun"/>
    <x v="2"/>
    <s v="Desk"/>
    <x v="1"/>
    <n v="19"/>
    <n v="190000"/>
    <n v="114000"/>
    <n v="21000"/>
    <n v="180000"/>
    <n v="20000"/>
    <n v="76000"/>
    <n v="0.4"/>
    <n v="55000"/>
    <n v="10000"/>
    <n v="5.5555555555555552E-2"/>
  </r>
  <r>
    <d v="2026-06-22T00:00:00"/>
    <s v="Jun"/>
    <x v="0"/>
    <s v="Keyboard"/>
    <x v="0"/>
    <n v="35"/>
    <n v="105000"/>
    <n v="52500"/>
    <n v="13000"/>
    <n v="100000"/>
    <n v="12000"/>
    <n v="52500"/>
    <n v="0.5"/>
    <n v="39500"/>
    <n v="5000"/>
    <n v="0.05"/>
  </r>
  <r>
    <d v="2026-06-27T00:00:00"/>
    <s v="Jun"/>
    <x v="1"/>
    <s v="Headphones"/>
    <x v="0"/>
    <n v="48"/>
    <n v="144000"/>
    <n v="86400"/>
    <n v="23000"/>
    <n v="138000"/>
    <n v="22000"/>
    <n v="57600"/>
    <n v="0.4"/>
    <n v="34600"/>
    <n v="6000"/>
    <n v="4.3478260869565216E-2"/>
  </r>
  <r>
    <d v="2026-07-05T00:00:00"/>
    <s v="Jul"/>
    <x v="0"/>
    <s v="Laptop"/>
    <x v="0"/>
    <n v="17"/>
    <n v="1020000"/>
    <n v="765000"/>
    <n v="102000"/>
    <n v="970000"/>
    <n v="98000"/>
    <n v="255000"/>
    <n v="0.25"/>
    <n v="153000"/>
    <n v="50000"/>
    <n v="5.1546391752577317E-2"/>
  </r>
  <r>
    <d v="2026-07-10T00:00:00"/>
    <s v="Jul"/>
    <x v="1"/>
    <s v="Monitor"/>
    <x v="0"/>
    <n v="24"/>
    <n v="288000"/>
    <n v="187200"/>
    <n v="29000"/>
    <n v="275000"/>
    <n v="28000"/>
    <n v="100800"/>
    <n v="0.35"/>
    <n v="71800"/>
    <n v="13000"/>
    <n v="4.7272727272727272E-2"/>
  </r>
  <r>
    <d v="2026-07-16T00:00:00"/>
    <s v="Jul"/>
    <x v="2"/>
    <s v="Desk"/>
    <x v="1"/>
    <n v="21"/>
    <n v="210000"/>
    <n v="126000"/>
    <n v="23000"/>
    <n v="200000"/>
    <n v="22000"/>
    <n v="84000"/>
    <n v="0.4"/>
    <n v="61000"/>
    <n v="10000"/>
    <n v="0.05"/>
  </r>
  <r>
    <d v="2026-07-22T00:00:00"/>
    <s v="Jul"/>
    <x v="0"/>
    <s v="Keyboard"/>
    <x v="0"/>
    <n v="39"/>
    <n v="117000"/>
    <n v="58500"/>
    <n v="14000"/>
    <n v="112000"/>
    <n v="13000"/>
    <n v="58500"/>
    <n v="0.5"/>
    <n v="44500"/>
    <n v="5000"/>
    <n v="4.4642857142857144E-2"/>
  </r>
  <r>
    <d v="2026-07-27T00:00:00"/>
    <s v="Jul"/>
    <x v="1"/>
    <s v="Headphones"/>
    <x v="0"/>
    <n v="52"/>
    <n v="156000"/>
    <n v="93600"/>
    <n v="25000"/>
    <n v="150000"/>
    <n v="23000"/>
    <n v="62400"/>
    <n v="0.4"/>
    <n v="37400"/>
    <n v="6000"/>
    <n v="0.04"/>
  </r>
  <r>
    <d v="2026-08-05T00:00:00"/>
    <s v="Aug"/>
    <x v="0"/>
    <s v="Laptop"/>
    <x v="0"/>
    <n v="19"/>
    <n v="1140000"/>
    <n v="855000"/>
    <n v="110000"/>
    <n v="1080000"/>
    <n v="105000"/>
    <n v="285000"/>
    <n v="0.25"/>
    <n v="175000"/>
    <n v="60000"/>
    <n v="5.5555555555555552E-2"/>
  </r>
  <r>
    <d v="2026-08-10T00:00:00"/>
    <s v="Aug"/>
    <x v="1"/>
    <s v="Monitor"/>
    <x v="0"/>
    <n v="26"/>
    <n v="312000"/>
    <n v="202800"/>
    <n v="31000"/>
    <n v="295000"/>
    <n v="30000"/>
    <n v="109200"/>
    <n v="0.35"/>
    <n v="78200"/>
    <n v="17000"/>
    <n v="5.7627118644067797E-2"/>
  </r>
  <r>
    <d v="2026-08-16T00:00:00"/>
    <s v="Aug"/>
    <x v="2"/>
    <s v="Desk"/>
    <x v="1"/>
    <n v="23"/>
    <n v="230000"/>
    <n v="138000"/>
    <n v="25000"/>
    <n v="220000"/>
    <n v="24000"/>
    <n v="92000"/>
    <n v="0.4"/>
    <n v="67000"/>
    <n v="10000"/>
    <n v="4.5454545454545456E-2"/>
  </r>
  <r>
    <d v="2026-08-22T00:00:00"/>
    <s v="Aug"/>
    <x v="0"/>
    <s v="Keyboard"/>
    <x v="0"/>
    <n v="43"/>
    <n v="129000"/>
    <n v="64500"/>
    <n v="15000"/>
    <n v="123000"/>
    <n v="14000"/>
    <n v="64500"/>
    <n v="0.5"/>
    <n v="49500"/>
    <n v="6000"/>
    <n v="4.878048780487805E-2"/>
  </r>
  <r>
    <d v="2026-08-27T00:00:00"/>
    <s v="Aug"/>
    <x v="1"/>
    <s v="Headphones"/>
    <x v="0"/>
    <n v="58"/>
    <n v="174000"/>
    <n v="104400"/>
    <n v="27000"/>
    <n v="165000"/>
    <n v="25000"/>
    <n v="69600"/>
    <n v="0.4"/>
    <n v="42600"/>
    <n v="9000"/>
    <n v="5.4545454545454543E-2"/>
  </r>
  <r>
    <d v="2026-09-05T00:00:00"/>
    <s v="Sep"/>
    <x v="0"/>
    <s v="Laptop"/>
    <x v="0"/>
    <n v="18"/>
    <n v="1080000"/>
    <n v="810000"/>
    <n v="108000"/>
    <n v="1020000"/>
    <n v="103000"/>
    <n v="270000"/>
    <n v="0.25"/>
    <n v="162000"/>
    <n v="60000"/>
    <n v="5.8823529411764705E-2"/>
  </r>
  <r>
    <d v="2026-09-10T00:00:00"/>
    <s v="Sep"/>
    <x v="1"/>
    <s v="Monitor"/>
    <x v="0"/>
    <n v="28"/>
    <n v="336000"/>
    <n v="218400"/>
    <n v="33000"/>
    <n v="320000"/>
    <n v="32000"/>
    <n v="117600"/>
    <n v="0.35"/>
    <n v="84600"/>
    <n v="16000"/>
    <n v="0.05"/>
  </r>
  <r>
    <d v="2026-09-16T00:00:00"/>
    <s v="Sep"/>
    <x v="2"/>
    <s v="Desk"/>
    <x v="1"/>
    <n v="25"/>
    <n v="250000"/>
    <n v="150000"/>
    <n v="27000"/>
    <n v="240000"/>
    <n v="26000"/>
    <n v="100000"/>
    <n v="0.4"/>
    <n v="73000"/>
    <n v="10000"/>
    <n v="4.1666666666666664E-2"/>
  </r>
  <r>
    <d v="2026-09-22T00:00:00"/>
    <s v="Sep"/>
    <x v="0"/>
    <s v="Keyboard"/>
    <x v="0"/>
    <n v="47"/>
    <n v="141000"/>
    <n v="70500"/>
    <n v="16000"/>
    <n v="135000"/>
    <n v="15000"/>
    <n v="70500"/>
    <n v="0.5"/>
    <n v="54500"/>
    <n v="6000"/>
    <n v="4.4444444444444446E-2"/>
  </r>
  <r>
    <d v="2026-09-27T00:00:00"/>
    <s v="Sep"/>
    <x v="1"/>
    <s v="Headphones"/>
    <x v="0"/>
    <n v="60"/>
    <n v="180000"/>
    <n v="108000"/>
    <n v="29000"/>
    <n v="172000"/>
    <n v="27000"/>
    <n v="72000"/>
    <n v="0.4"/>
    <n v="43000"/>
    <n v="8000"/>
    <n v="4.6511627906976744E-2"/>
  </r>
  <r>
    <d v="2026-10-05T00:00:00"/>
    <s v="Oct"/>
    <x v="0"/>
    <s v="Laptop"/>
    <x v="0"/>
    <n v="21"/>
    <n v="1260000"/>
    <n v="945000"/>
    <n v="120000"/>
    <n v="1190000"/>
    <n v="115000"/>
    <n v="315000"/>
    <n v="0.25"/>
    <n v="195000"/>
    <n v="70000"/>
    <n v="5.8823529411764705E-2"/>
  </r>
  <r>
    <d v="2026-10-10T00:00:00"/>
    <s v="Oct"/>
    <x v="1"/>
    <s v="Monitor"/>
    <x v="0"/>
    <n v="30"/>
    <n v="360000"/>
    <n v="234000"/>
    <n v="35000"/>
    <n v="345000"/>
    <n v="34000"/>
    <n v="126000"/>
    <n v="0.35"/>
    <n v="91000"/>
    <n v="15000"/>
    <n v="4.3478260869565216E-2"/>
  </r>
  <r>
    <d v="2026-10-16T00:00:00"/>
    <s v="Oct"/>
    <x v="2"/>
    <s v="Desk"/>
    <x v="1"/>
    <n v="27"/>
    <n v="270000"/>
    <n v="162000"/>
    <n v="29000"/>
    <n v="255000"/>
    <n v="28000"/>
    <n v="108000"/>
    <n v="0.4"/>
    <n v="79000"/>
    <n v="15000"/>
    <n v="5.8823529411764705E-2"/>
  </r>
  <r>
    <d v="2026-10-22T00:00:00"/>
    <s v="Oct"/>
    <x v="0"/>
    <s v="Keyboard"/>
    <x v="0"/>
    <n v="51"/>
    <n v="153000"/>
    <n v="76500"/>
    <n v="18000"/>
    <n v="147000"/>
    <n v="17000"/>
    <n v="76500"/>
    <n v="0.5"/>
    <n v="58500"/>
    <n v="6000"/>
    <n v="4.0816326530612242E-2"/>
  </r>
  <r>
    <d v="2026-10-27T00:00:00"/>
    <s v="Oct"/>
    <x v="1"/>
    <s v="Headphones"/>
    <x v="0"/>
    <n v="64"/>
    <n v="192000"/>
    <n v="115200"/>
    <n v="31000"/>
    <n v="182000"/>
    <n v="29000"/>
    <n v="76800"/>
    <n v="0.4"/>
    <n v="45800"/>
    <n v="10000"/>
    <n v="5.4945054945054944E-2"/>
  </r>
  <r>
    <d v="2026-11-05T00:00:00"/>
    <s v="Nov"/>
    <x v="0"/>
    <s v="Laptop"/>
    <x v="0"/>
    <n v="22"/>
    <n v="1320000"/>
    <n v="990000"/>
    <n v="125000"/>
    <n v="1250000"/>
    <n v="120000"/>
    <n v="330000"/>
    <n v="0.25"/>
    <n v="205000"/>
    <n v="70000"/>
    <n v="5.6000000000000001E-2"/>
  </r>
  <r>
    <d v="2026-11-10T00:00:00"/>
    <s v="Nov"/>
    <x v="1"/>
    <s v="Monitor"/>
    <x v="0"/>
    <n v="32"/>
    <n v="384000"/>
    <n v="249600"/>
    <n v="38000"/>
    <n v="365000"/>
    <n v="36000"/>
    <n v="134400"/>
    <n v="0.35"/>
    <n v="96400"/>
    <n v="19000"/>
    <n v="5.2054794520547946E-2"/>
  </r>
  <r>
    <d v="2026-11-16T00:00:00"/>
    <s v="Nov"/>
    <x v="2"/>
    <s v="Desk"/>
    <x v="1"/>
    <n v="29"/>
    <n v="290000"/>
    <n v="174000"/>
    <n v="31000"/>
    <n v="275000"/>
    <n v="30000"/>
    <n v="116000"/>
    <n v="0.4"/>
    <n v="85000"/>
    <n v="15000"/>
    <n v="5.4545454545454543E-2"/>
  </r>
  <r>
    <d v="2026-11-22T00:00:00"/>
    <s v="Nov"/>
    <x v="0"/>
    <s v="Keyboard"/>
    <x v="0"/>
    <n v="54"/>
    <n v="162000"/>
    <n v="81000"/>
    <n v="19000"/>
    <n v="155000"/>
    <n v="18000"/>
    <n v="81000"/>
    <n v="0.5"/>
    <n v="62000"/>
    <n v="7000"/>
    <n v="4.5161290322580643E-2"/>
  </r>
  <r>
    <d v="2026-11-27T00:00:00"/>
    <s v="Nov"/>
    <x v="1"/>
    <s v="Headphones"/>
    <x v="0"/>
    <n v="68"/>
    <n v="204000"/>
    <n v="122400"/>
    <n v="33000"/>
    <n v="195000"/>
    <n v="31000"/>
    <n v="81600"/>
    <n v="0.4"/>
    <n v="48600"/>
    <n v="9000"/>
    <n v="4.6153846153846156E-2"/>
  </r>
  <r>
    <d v="2026-12-05T00:00:00"/>
    <s v="Dec"/>
    <x v="0"/>
    <s v="Laptop"/>
    <x v="0"/>
    <n v="24"/>
    <n v="1440000"/>
    <n v="1080000"/>
    <n v="135000"/>
    <n v="1360000"/>
    <n v="130000"/>
    <n v="360000"/>
    <n v="0.25"/>
    <n v="225000"/>
    <n v="80000"/>
    <n v="5.8823529411764705E-2"/>
  </r>
  <r>
    <d v="2026-12-10T00:00:00"/>
    <s v="Dec"/>
    <x v="1"/>
    <s v="Monitor"/>
    <x v="0"/>
    <n v="36"/>
    <n v="432000"/>
    <n v="280800"/>
    <n v="41000"/>
    <n v="410000"/>
    <n v="39000"/>
    <n v="151200"/>
    <n v="0.35"/>
    <n v="110200"/>
    <n v="22000"/>
    <n v="5.3658536585365853E-2"/>
  </r>
  <r>
    <d v="2026-12-16T00:00:00"/>
    <s v="Dec"/>
    <x v="2"/>
    <s v="Desk"/>
    <x v="1"/>
    <n v="31"/>
    <n v="310000"/>
    <n v="186000"/>
    <n v="33000"/>
    <n v="295000"/>
    <n v="31000"/>
    <n v="124000"/>
    <n v="0.4"/>
    <n v="91000"/>
    <n v="15000"/>
    <n v="5.0847457627118647E-2"/>
  </r>
  <r>
    <d v="2026-12-22T00:00:00"/>
    <s v="Dec"/>
    <x v="0"/>
    <s v="Keyboard"/>
    <x v="0"/>
    <n v="58"/>
    <n v="174000"/>
    <n v="87000"/>
    <n v="20000"/>
    <n v="165000"/>
    <n v="19000"/>
    <n v="87000"/>
    <n v="0.5"/>
    <n v="67000"/>
    <n v="9000"/>
    <n v="5.4545454545454543E-2"/>
  </r>
  <r>
    <d v="2026-12-27T00:00:00"/>
    <s v="Dec"/>
    <x v="1"/>
    <s v="Headphones"/>
    <x v="0"/>
    <n v="72"/>
    <n v="216000"/>
    <n v="129600"/>
    <n v="36000"/>
    <n v="205000"/>
    <n v="34000"/>
    <n v="86400"/>
    <n v="0.4"/>
    <n v="50400"/>
    <n v="11000"/>
    <n v="5.365853658536585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8135F-DFBC-4BAA-B45C-7BB43A06C71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4:N7" firstHeaderRow="1" firstDataRow="1" firstDataCol="1"/>
  <pivotFields count="16">
    <pivotField numFmtId="15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numFmtId="9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D2F97-BBF8-4277-87A9-D3F7F331807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6">
    <pivotField numFmtId="1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numFmtId="9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E9CAA-1F42-4F87-AE9F-60D96A1DED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I6" firstHeaderRow="0" firstDataRow="1" firstDataCol="1"/>
  <pivotFields count="16">
    <pivotField numFmtId="15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numFmtId="9" showAll="0"/>
    <pivotField showAll="0"/>
    <pivotField showAll="0"/>
    <pivotField numFmtId="9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Gross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E1CF-9B67-4898-BBF7-6A71292D44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9:B33" firstHeaderRow="1" firstDataRow="1" firstDataCol="1"/>
  <pivotFields count="16">
    <pivotField numFmtId="15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numFmtId="9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502F0-7B65-42A5-8139-90C114C859AD}" name="tbl_FinancialData" displayName="tbl_FinancialData" ref="A1:P132" totalsRowShown="0" headerRowDxfId="20" dataDxfId="18" headerRowBorderDxfId="19" tableBorderDxfId="17" totalsRowBorderDxfId="16">
  <tableColumns count="16">
    <tableColumn id="1" xr3:uid="{2C25DDF0-C307-417B-B1AA-7D1541E928D5}" name="Date" dataDxfId="15"/>
    <tableColumn id="2" xr3:uid="{E19A50C9-04F2-4CE0-844A-ED72B8C27154}" name="Month" dataDxfId="14"/>
    <tableColumn id="3" xr3:uid="{F1E42BA2-88E0-4506-954D-4E5903A4A397}" name="City" dataDxfId="13"/>
    <tableColumn id="4" xr3:uid="{AA0650B4-8210-4353-A324-1F7A9B5F3CE7}" name="Product" dataDxfId="12"/>
    <tableColumn id="5" xr3:uid="{4A69D13A-9326-441C-A668-38A4877228F8}" name="Category" dataDxfId="11"/>
    <tableColumn id="6" xr3:uid="{3784FF35-83CD-4E5B-8B64-29854E41A117}" name="Units Sold" dataDxfId="10"/>
    <tableColumn id="7" xr3:uid="{49B34309-B778-413B-8596-29698E99080B}" name="Revenue" dataDxfId="9"/>
    <tableColumn id="8" xr3:uid="{9D7CF6E7-AC39-4D6C-8451-ED8696F6E4BA}" name="COGS" dataDxfId="8"/>
    <tableColumn id="9" xr3:uid="{3A05B924-7BB3-4084-BEF9-B5531F0800C4}" name="Operating Expense" dataDxfId="7"/>
    <tableColumn id="10" xr3:uid="{9B349129-E5D0-48D5-9FD7-B30825AEE238}" name="Budget Revenue" dataDxfId="6"/>
    <tableColumn id="11" xr3:uid="{C86DA25C-0E7D-4C76-9C41-92B2B212F6DA}" name="Budget Expense" dataDxfId="5"/>
    <tableColumn id="12" xr3:uid="{9A6CA567-502F-4F9A-91E5-2AE7B2D13BCF}" name="Gross Profit" dataDxfId="4">
      <calculatedColumnFormula>tbl_FinancialData[[#This Row],[Revenue]]-tbl_FinancialData[[#This Row],[COGS]]</calculatedColumnFormula>
    </tableColumn>
    <tableColumn id="13" xr3:uid="{7EA532ED-0A12-4B60-B12A-A02F471FFFB6}" name="Gross Margin %" dataDxfId="3" dataCellStyle="Percent">
      <calculatedColumnFormula>tbl_FinancialData[[#This Row],[Gross Profit]]/tbl_FinancialData[[#This Row],[Revenue]]</calculatedColumnFormula>
    </tableColumn>
    <tableColumn id="14" xr3:uid="{7A5AD4AB-A791-4109-A4F1-D15A77A3E5A4}" name="Operating Profit" dataDxfId="2">
      <calculatedColumnFormula>tbl_FinancialData[[#This Row],[Gross Profit]]-tbl_FinancialData[[#This Row],[Operating Expense]]</calculatedColumnFormula>
    </tableColumn>
    <tableColumn id="15" xr3:uid="{2B43A106-823B-4ECF-920E-93DDAE3A35FE}" name="Revenue Variance" dataDxfId="1">
      <calculatedColumnFormula>tbl_FinancialData[[#This Row],[Revenue]]-tbl_FinancialData[[#This Row],[Budget Revenue]]</calculatedColumnFormula>
    </tableColumn>
    <tableColumn id="16" xr3:uid="{2A05A593-D6A7-46B9-B0DF-117B9FE33F97}" name="Revenue Variance %" dataDxfId="0" dataCellStyle="Percent">
      <calculatedColumnFormula>tbl_FinancialData[[#This Row],[Revenue Variance]]/tbl_FinancialData[[#This Row],[Budget Revenue]]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906F-F3E0-43E6-8BCA-4FD91AAA0EED}">
  <dimension ref="A3:Q7"/>
  <sheetViews>
    <sheetView topLeftCell="D1" workbookViewId="0">
      <selection activeCell="S17" sqref="S17"/>
    </sheetView>
  </sheetViews>
  <sheetFormatPr defaultRowHeight="14.4"/>
  <cols>
    <col min="1" max="1" width="12.5546875" bestFit="1" customWidth="1"/>
    <col min="2" max="2" width="14.88671875" bestFit="1" customWidth="1"/>
    <col min="7" max="7" width="12.5546875" bestFit="1" customWidth="1"/>
    <col min="8" max="8" width="14.88671875" bestFit="1" customWidth="1"/>
    <col min="9" max="9" width="17.33203125" bestFit="1" customWidth="1"/>
    <col min="13" max="13" width="12.5546875" bestFit="1" customWidth="1"/>
    <col min="14" max="14" width="14.88671875" bestFit="1" customWidth="1"/>
  </cols>
  <sheetData>
    <row r="3" spans="1:17">
      <c r="A3" s="43" t="s">
        <v>54</v>
      </c>
      <c r="B3" t="s">
        <v>56</v>
      </c>
      <c r="G3" s="43" t="s">
        <v>54</v>
      </c>
      <c r="H3" t="s">
        <v>56</v>
      </c>
      <c r="I3" t="s">
        <v>59</v>
      </c>
      <c r="J3" s="19" t="s">
        <v>58</v>
      </c>
    </row>
    <row r="4" spans="1:17" ht="28.8">
      <c r="A4" s="44" t="s">
        <v>14</v>
      </c>
      <c r="B4">
        <v>8575000</v>
      </c>
      <c r="G4" s="44" t="s">
        <v>13</v>
      </c>
      <c r="H4">
        <v>36069000</v>
      </c>
      <c r="I4">
        <v>10948200</v>
      </c>
      <c r="J4" s="45">
        <f>GETPIVOTDATA("Sum of Gross Profit",$G$3,"Category","Electronics")/GETPIVOTDATA("Sum of Revenue",$G$3,"Category","Electronics")</f>
        <v>0.30353489145803875</v>
      </c>
      <c r="M4" s="43" t="s">
        <v>54</v>
      </c>
      <c r="N4" t="s">
        <v>56</v>
      </c>
      <c r="P4" s="46" t="s">
        <v>3</v>
      </c>
      <c r="Q4" s="46" t="s">
        <v>34</v>
      </c>
    </row>
    <row r="5" spans="1:17" ht="28.8">
      <c r="A5" s="44" t="s">
        <v>11</v>
      </c>
      <c r="B5">
        <v>26733000</v>
      </c>
      <c r="G5" s="44" t="s">
        <v>18</v>
      </c>
      <c r="H5">
        <v>6490000</v>
      </c>
      <c r="I5">
        <v>2596000</v>
      </c>
      <c r="J5" s="45">
        <f>GETPIVOTDATA("Sum of Gross Profit",$G$3,"Category","Furniture")/GETPIVOTDATA("Sum of Revenue",$G$3,"Category","Furniture")</f>
        <v>0.4</v>
      </c>
      <c r="M5" s="44" t="s">
        <v>13</v>
      </c>
      <c r="N5">
        <v>36069000</v>
      </c>
      <c r="P5" s="47" t="s">
        <v>13</v>
      </c>
      <c r="Q5" s="48">
        <v>0.30349999999999999</v>
      </c>
    </row>
    <row r="6" spans="1:17">
      <c r="A6" s="44" t="s">
        <v>16</v>
      </c>
      <c r="B6">
        <v>7251000</v>
      </c>
      <c r="G6" s="44" t="s">
        <v>55</v>
      </c>
      <c r="H6">
        <v>42559000</v>
      </c>
      <c r="I6">
        <v>13544200</v>
      </c>
      <c r="J6" s="45">
        <f>GETPIVOTDATA("Sum of Gross Profit",$G$3)/GETPIVOTDATA("Sum of Revenue",$G$3)</f>
        <v>0.31824525952207522</v>
      </c>
      <c r="M6" s="44" t="s">
        <v>18</v>
      </c>
      <c r="N6">
        <v>6490000</v>
      </c>
      <c r="P6" s="47" t="s">
        <v>18</v>
      </c>
      <c r="Q6" s="48">
        <v>0.4</v>
      </c>
    </row>
    <row r="7" spans="1:17">
      <c r="A7" s="44" t="s">
        <v>55</v>
      </c>
      <c r="B7">
        <v>42559000</v>
      </c>
      <c r="M7" s="44" t="s">
        <v>55</v>
      </c>
      <c r="N7">
        <v>42559000</v>
      </c>
    </row>
  </sheetData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3809-C2F1-44A4-A8DE-AFF5A097DA4C}">
  <sheetPr>
    <pageSetUpPr fitToPage="1"/>
  </sheetPr>
  <dimension ref="A1:L53"/>
  <sheetViews>
    <sheetView zoomScale="56" zoomScaleNormal="56" workbookViewId="0">
      <selection activeCell="Z33" sqref="Z33"/>
    </sheetView>
  </sheetViews>
  <sheetFormatPr defaultRowHeight="14.4"/>
  <cols>
    <col min="1" max="1" width="8.88671875" customWidth="1"/>
    <col min="6" max="6" width="8.88671875" customWidth="1"/>
    <col min="10" max="12" width="8.88671875" customWidth="1"/>
  </cols>
  <sheetData>
    <row r="1" spans="1:12" ht="23.4">
      <c r="A1" s="56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8">
      <c r="A2" s="57" t="s">
        <v>60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15" thickBot="1"/>
    <row r="4" spans="1:12">
      <c r="A4" s="70" t="s">
        <v>42</v>
      </c>
      <c r="B4" s="59"/>
      <c r="C4" s="59" t="s">
        <v>43</v>
      </c>
      <c r="D4" s="59"/>
      <c r="E4" s="59" t="s">
        <v>34</v>
      </c>
      <c r="F4" s="59"/>
      <c r="G4" s="59" t="s">
        <v>7</v>
      </c>
      <c r="H4" s="59"/>
      <c r="I4" s="59" t="s">
        <v>35</v>
      </c>
      <c r="J4" s="59"/>
      <c r="K4" s="59" t="s">
        <v>37</v>
      </c>
      <c r="L4" s="60"/>
    </row>
    <row r="5" spans="1:12">
      <c r="A5" s="71">
        <f>'financial analysis'!E6</f>
        <v>42559000</v>
      </c>
      <c r="B5" s="66"/>
      <c r="C5" s="61">
        <f>'financial analysis'!E7</f>
        <v>13544200</v>
      </c>
      <c r="D5" s="61"/>
      <c r="E5" s="63">
        <f>'financial analysis'!E8</f>
        <v>0.318245259522075</v>
      </c>
      <c r="F5" s="64"/>
      <c r="G5" s="66">
        <f>'financial analysis'!E9</f>
        <v>4728500</v>
      </c>
      <c r="H5" s="66"/>
      <c r="I5" s="66">
        <f>'financial analysis'!E10</f>
        <v>8815700</v>
      </c>
      <c r="J5" s="66"/>
      <c r="K5" s="63">
        <f>'financial analysis'!E12</f>
        <v>4.9673202614379103E-2</v>
      </c>
      <c r="L5" s="68"/>
    </row>
    <row r="6" spans="1:12" ht="15" thickBot="1">
      <c r="A6" s="72"/>
      <c r="B6" s="67"/>
      <c r="C6" s="62"/>
      <c r="D6" s="62"/>
      <c r="E6" s="65"/>
      <c r="F6" s="65"/>
      <c r="G6" s="67"/>
      <c r="H6" s="67"/>
      <c r="I6" s="67"/>
      <c r="J6" s="67"/>
      <c r="K6" s="65"/>
      <c r="L6" s="69"/>
    </row>
    <row r="48" spans="1:12">
      <c r="A48" s="58" t="s">
        <v>76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1">
      <c r="A49" s="55" t="s">
        <v>77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 spans="1:11">
      <c r="A50" s="55" t="s">
        <v>78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spans="1:11">
      <c r="A51" s="55" t="s">
        <v>79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spans="1:11">
      <c r="A52" s="55" t="s">
        <v>80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spans="1:11">
      <c r="A53" s="55" t="s">
        <v>81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</row>
  </sheetData>
  <mergeCells count="20">
    <mergeCell ref="A1:L1"/>
    <mergeCell ref="A2:L2"/>
    <mergeCell ref="A48:L48"/>
    <mergeCell ref="G4:H4"/>
    <mergeCell ref="I4:J4"/>
    <mergeCell ref="K4:L4"/>
    <mergeCell ref="C5:D6"/>
    <mergeCell ref="E5:F6"/>
    <mergeCell ref="G5:H6"/>
    <mergeCell ref="I5:J6"/>
    <mergeCell ref="K5:L6"/>
    <mergeCell ref="A4:B4"/>
    <mergeCell ref="A5:B6"/>
    <mergeCell ref="C4:D4"/>
    <mergeCell ref="E4:F4"/>
    <mergeCell ref="A49:K49"/>
    <mergeCell ref="A50:K50"/>
    <mergeCell ref="A51:K51"/>
    <mergeCell ref="A52:K52"/>
    <mergeCell ref="A53:K53"/>
  </mergeCells>
  <pageMargins left="0.25" right="0.25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84CB-5EE6-4DB8-A580-CBF485D74CAE}">
  <dimension ref="A1:B10"/>
  <sheetViews>
    <sheetView topLeftCell="A8" workbookViewId="0">
      <selection activeCell="A10" sqref="A10"/>
    </sheetView>
  </sheetViews>
  <sheetFormatPr defaultRowHeight="14.4"/>
  <cols>
    <col min="1" max="1" width="14.5546875" customWidth="1"/>
    <col min="2" max="2" width="78.109375" customWidth="1"/>
  </cols>
  <sheetData>
    <row r="1" spans="1:2">
      <c r="A1" s="73" t="s">
        <v>73</v>
      </c>
      <c r="B1" s="58"/>
    </row>
    <row r="2" spans="1:2">
      <c r="A2" s="58"/>
      <c r="B2" s="58"/>
    </row>
    <row r="4" spans="1:2" ht="43.2">
      <c r="A4" s="46" t="s">
        <v>61</v>
      </c>
      <c r="B4" s="46" t="s">
        <v>62</v>
      </c>
    </row>
    <row r="5" spans="1:2" ht="28.8">
      <c r="A5" s="54" t="s">
        <v>63</v>
      </c>
      <c r="B5" s="47" t="s">
        <v>64</v>
      </c>
    </row>
    <row r="6" spans="1:2" ht="144">
      <c r="A6" s="54" t="s">
        <v>65</v>
      </c>
      <c r="B6" s="47" t="s">
        <v>66</v>
      </c>
    </row>
    <row r="7" spans="1:2" ht="28.8">
      <c r="A7" s="54" t="s">
        <v>67</v>
      </c>
      <c r="B7" s="47" t="s">
        <v>68</v>
      </c>
    </row>
    <row r="8" spans="1:2" ht="28.8">
      <c r="A8" s="54" t="s">
        <v>69</v>
      </c>
      <c r="B8" s="47" t="s">
        <v>70</v>
      </c>
    </row>
    <row r="9" spans="1:2" ht="28.8">
      <c r="A9" s="54" t="s">
        <v>71</v>
      </c>
      <c r="B9" s="47" t="s">
        <v>72</v>
      </c>
    </row>
    <row r="10" spans="1:2" ht="43.2">
      <c r="A10" s="54" t="s">
        <v>75</v>
      </c>
      <c r="B10" s="1" t="s">
        <v>74</v>
      </c>
    </row>
  </sheetData>
  <mergeCells count="1">
    <mergeCell ref="A1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AE13-4962-4769-9B9F-9F2FEA7B5D3B}">
  <dimension ref="A1:P132"/>
  <sheetViews>
    <sheetView tabSelected="1" topLeftCell="A98" zoomScale="82" workbookViewId="0">
      <selection activeCell="C11" sqref="C11"/>
    </sheetView>
  </sheetViews>
  <sheetFormatPr defaultRowHeight="14.4"/>
  <cols>
    <col min="1" max="1" width="9.88671875" style="2" bestFit="1" customWidth="1"/>
    <col min="2" max="2" width="8.6640625" style="2" customWidth="1"/>
    <col min="3" max="3" width="9.77734375" style="2" bestFit="1" customWidth="1"/>
    <col min="4" max="4" width="11.109375" style="2" bestFit="1" customWidth="1"/>
    <col min="5" max="5" width="10.44140625" style="2" customWidth="1"/>
    <col min="6" max="6" width="11.33203125" style="2" customWidth="1"/>
    <col min="7" max="7" width="10.21875" style="2" customWidth="1"/>
    <col min="8" max="8" width="8" style="2" bestFit="1" customWidth="1"/>
    <col min="9" max="9" width="18.5546875" style="2" customWidth="1"/>
    <col min="10" max="10" width="16.6640625" style="2" customWidth="1"/>
    <col min="11" max="11" width="16.21875" style="2" customWidth="1"/>
    <col min="12" max="12" width="11.6640625" customWidth="1"/>
    <col min="13" max="13" width="14.21875" style="15" customWidth="1"/>
    <col min="14" max="14" width="13.88671875" customWidth="1"/>
    <col min="15" max="15" width="15" customWidth="1"/>
    <col min="16" max="16" width="15.5546875" style="15" customWidth="1"/>
  </cols>
  <sheetData>
    <row r="1" spans="1:16" s="1" customFormat="1" ht="28.8">
      <c r="A1" s="3" t="s">
        <v>0</v>
      </c>
      <c r="B1" s="4" t="s">
        <v>1</v>
      </c>
      <c r="C1" s="4" t="s">
        <v>57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33</v>
      </c>
      <c r="M1" s="12" t="s">
        <v>34</v>
      </c>
      <c r="N1" s="4" t="s">
        <v>35</v>
      </c>
      <c r="O1" s="4" t="s">
        <v>36</v>
      </c>
      <c r="P1" s="16" t="s">
        <v>37</v>
      </c>
    </row>
    <row r="2" spans="1:16">
      <c r="A2" s="5">
        <v>46027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12</v>
      </c>
      <c r="G2" s="6">
        <v>720000</v>
      </c>
      <c r="H2" s="6">
        <v>540000</v>
      </c>
      <c r="I2" s="6">
        <v>85000</v>
      </c>
      <c r="J2" s="6">
        <v>700000</v>
      </c>
      <c r="K2" s="6">
        <v>80000</v>
      </c>
      <c r="L2" s="7">
        <f>tbl_FinancialData[[#This Row],[Revenue]]-tbl_FinancialData[[#This Row],[COGS]]</f>
        <v>180000</v>
      </c>
      <c r="M2" s="13">
        <f>tbl_FinancialData[[#This Row],[Gross Profit]]/tbl_FinancialData[[#This Row],[Revenue]]</f>
        <v>0.25</v>
      </c>
      <c r="N2" s="7">
        <f>tbl_FinancialData[[#This Row],[Gross Profit]]-tbl_FinancialData[[#This Row],[Operating Expense]]</f>
        <v>95000</v>
      </c>
      <c r="O2" s="7">
        <f>tbl_FinancialData[[#This Row],[Revenue]]-tbl_FinancialData[[#This Row],[Budget Revenue]]</f>
        <v>20000</v>
      </c>
      <c r="P2" s="17">
        <f>tbl_FinancialData[[#This Row],[Revenue Variance]]/tbl_FinancialData[[#This Row],[Budget Revenue]]</f>
        <v>2.8571428571428571E-2</v>
      </c>
    </row>
    <row r="3" spans="1:16">
      <c r="A3" s="8">
        <v>46030</v>
      </c>
      <c r="B3" s="7" t="s">
        <v>10</v>
      </c>
      <c r="C3" s="7" t="s">
        <v>14</v>
      </c>
      <c r="D3" s="7" t="s">
        <v>15</v>
      </c>
      <c r="E3" s="7" t="s">
        <v>13</v>
      </c>
      <c r="F3" s="7">
        <v>35</v>
      </c>
      <c r="G3" s="7">
        <v>105000</v>
      </c>
      <c r="H3" s="7">
        <v>63000</v>
      </c>
      <c r="I3" s="7">
        <v>18000</v>
      </c>
      <c r="J3" s="7">
        <v>110000</v>
      </c>
      <c r="K3" s="7">
        <v>20000</v>
      </c>
      <c r="L3" s="7">
        <f>tbl_FinancialData[[#This Row],[Revenue]]-tbl_FinancialData[[#This Row],[COGS]]</f>
        <v>42000</v>
      </c>
      <c r="M3" s="13">
        <f>tbl_FinancialData[[#This Row],[Gross Profit]]/tbl_FinancialData[[#This Row],[Revenue]]</f>
        <v>0.4</v>
      </c>
      <c r="N3" s="7">
        <f>tbl_FinancialData[[#This Row],[Gross Profit]]-tbl_FinancialData[[#This Row],[Operating Expense]]</f>
        <v>24000</v>
      </c>
      <c r="O3" s="7">
        <f>tbl_FinancialData[[#This Row],[Revenue]]-tbl_FinancialData[[#This Row],[Budget Revenue]]</f>
        <v>-5000</v>
      </c>
      <c r="P3" s="17">
        <f>tbl_FinancialData[[#This Row],[Revenue Variance]]/tbl_FinancialData[[#This Row],[Budget Revenue]]</f>
        <v>-4.5454545454545456E-2</v>
      </c>
    </row>
    <row r="4" spans="1:16">
      <c r="A4" s="8">
        <v>46037</v>
      </c>
      <c r="B4" s="7" t="s">
        <v>10</v>
      </c>
      <c r="C4" s="7" t="s">
        <v>16</v>
      </c>
      <c r="D4" s="7" t="s">
        <v>17</v>
      </c>
      <c r="E4" s="7" t="s">
        <v>18</v>
      </c>
      <c r="F4" s="7">
        <v>18</v>
      </c>
      <c r="G4" s="7">
        <v>90000</v>
      </c>
      <c r="H4" s="7">
        <v>54000</v>
      </c>
      <c r="I4" s="7">
        <v>12000</v>
      </c>
      <c r="J4" s="7">
        <v>85000</v>
      </c>
      <c r="K4" s="7">
        <v>10000</v>
      </c>
      <c r="L4" s="7">
        <f>tbl_FinancialData[[#This Row],[Revenue]]-tbl_FinancialData[[#This Row],[COGS]]</f>
        <v>36000</v>
      </c>
      <c r="M4" s="13">
        <f>tbl_FinancialData[[#This Row],[Gross Profit]]/tbl_FinancialData[[#This Row],[Revenue]]</f>
        <v>0.4</v>
      </c>
      <c r="N4" s="7">
        <f>tbl_FinancialData[[#This Row],[Gross Profit]]-tbl_FinancialData[[#This Row],[Operating Expense]]</f>
        <v>24000</v>
      </c>
      <c r="O4" s="7">
        <f>tbl_FinancialData[[#This Row],[Revenue]]-tbl_FinancialData[[#This Row],[Budget Revenue]]</f>
        <v>5000</v>
      </c>
      <c r="P4" s="17">
        <f>tbl_FinancialData[[#This Row],[Revenue Variance]]/tbl_FinancialData[[#This Row],[Budget Revenue]]</f>
        <v>5.8823529411764705E-2</v>
      </c>
    </row>
    <row r="5" spans="1:16">
      <c r="A5" s="8">
        <v>46043</v>
      </c>
      <c r="B5" s="7" t="s">
        <v>10</v>
      </c>
      <c r="C5" s="7" t="s">
        <v>11</v>
      </c>
      <c r="D5" s="7" t="s">
        <v>19</v>
      </c>
      <c r="E5" s="7" t="s">
        <v>13</v>
      </c>
      <c r="F5" s="7">
        <v>20</v>
      </c>
      <c r="G5" s="7">
        <v>240000</v>
      </c>
      <c r="H5" s="7">
        <v>156000</v>
      </c>
      <c r="I5" s="7">
        <v>30000</v>
      </c>
      <c r="J5" s="7">
        <v>220000</v>
      </c>
      <c r="K5" s="7">
        <v>28000</v>
      </c>
      <c r="L5" s="7">
        <f>tbl_FinancialData[[#This Row],[Revenue]]-tbl_FinancialData[[#This Row],[COGS]]</f>
        <v>84000</v>
      </c>
      <c r="M5" s="13">
        <f>tbl_FinancialData[[#This Row],[Gross Profit]]/tbl_FinancialData[[#This Row],[Revenue]]</f>
        <v>0.35</v>
      </c>
      <c r="N5" s="7">
        <f>tbl_FinancialData[[#This Row],[Gross Profit]]-tbl_FinancialData[[#This Row],[Operating Expense]]</f>
        <v>54000</v>
      </c>
      <c r="O5" s="7">
        <f>tbl_FinancialData[[#This Row],[Revenue]]-tbl_FinancialData[[#This Row],[Budget Revenue]]</f>
        <v>20000</v>
      </c>
      <c r="P5" s="17">
        <f>tbl_FinancialData[[#This Row],[Revenue Variance]]/tbl_FinancialData[[#This Row],[Budget Revenue]]</f>
        <v>9.0909090909090912E-2</v>
      </c>
    </row>
    <row r="6" spans="1:16">
      <c r="A6" s="8">
        <v>46047</v>
      </c>
      <c r="B6" s="7" t="s">
        <v>10</v>
      </c>
      <c r="C6" s="7" t="s">
        <v>14</v>
      </c>
      <c r="D6" s="7" t="s">
        <v>20</v>
      </c>
      <c r="E6" s="7" t="s">
        <v>18</v>
      </c>
      <c r="F6" s="7">
        <v>10</v>
      </c>
      <c r="G6" s="7">
        <v>100000</v>
      </c>
      <c r="H6" s="7">
        <v>60000</v>
      </c>
      <c r="I6" s="7">
        <v>15000</v>
      </c>
      <c r="J6" s="7">
        <v>95000</v>
      </c>
      <c r="K6" s="7">
        <v>14000</v>
      </c>
      <c r="L6" s="7">
        <f>tbl_FinancialData[[#This Row],[Revenue]]-tbl_FinancialData[[#This Row],[COGS]]</f>
        <v>40000</v>
      </c>
      <c r="M6" s="13">
        <f>tbl_FinancialData[[#This Row],[Gross Profit]]/tbl_FinancialData[[#This Row],[Revenue]]</f>
        <v>0.4</v>
      </c>
      <c r="N6" s="7">
        <f>tbl_FinancialData[[#This Row],[Gross Profit]]-tbl_FinancialData[[#This Row],[Operating Expense]]</f>
        <v>25000</v>
      </c>
      <c r="O6" s="7">
        <f>tbl_FinancialData[[#This Row],[Revenue]]-tbl_FinancialData[[#This Row],[Budget Revenue]]</f>
        <v>5000</v>
      </c>
      <c r="P6" s="17">
        <f>tbl_FinancialData[[#This Row],[Revenue Variance]]/tbl_FinancialData[[#This Row],[Budget Revenue]]</f>
        <v>5.2631578947368418E-2</v>
      </c>
    </row>
    <row r="7" spans="1:16">
      <c r="A7" s="8">
        <v>46050</v>
      </c>
      <c r="B7" s="7" t="s">
        <v>10</v>
      </c>
      <c r="C7" s="7" t="s">
        <v>16</v>
      </c>
      <c r="D7" s="7" t="s">
        <v>21</v>
      </c>
      <c r="E7" s="7" t="s">
        <v>13</v>
      </c>
      <c r="F7" s="7">
        <v>25</v>
      </c>
      <c r="G7" s="7">
        <v>75000</v>
      </c>
      <c r="H7" s="7">
        <v>37500</v>
      </c>
      <c r="I7" s="7">
        <v>10000</v>
      </c>
      <c r="J7" s="7">
        <v>80000</v>
      </c>
      <c r="K7" s="7">
        <v>9000</v>
      </c>
      <c r="L7" s="7">
        <f>tbl_FinancialData[[#This Row],[Revenue]]-tbl_FinancialData[[#This Row],[COGS]]</f>
        <v>37500</v>
      </c>
      <c r="M7" s="13">
        <f>tbl_FinancialData[[#This Row],[Gross Profit]]/tbl_FinancialData[[#This Row],[Revenue]]</f>
        <v>0.5</v>
      </c>
      <c r="N7" s="7">
        <f>tbl_FinancialData[[#This Row],[Gross Profit]]-tbl_FinancialData[[#This Row],[Operating Expense]]</f>
        <v>27500</v>
      </c>
      <c r="O7" s="7">
        <f>tbl_FinancialData[[#This Row],[Revenue]]-tbl_FinancialData[[#This Row],[Budget Revenue]]</f>
        <v>-5000</v>
      </c>
      <c r="P7" s="17">
        <f>tbl_FinancialData[[#This Row],[Revenue Variance]]/tbl_FinancialData[[#This Row],[Budget Revenue]]</f>
        <v>-6.25E-2</v>
      </c>
    </row>
    <row r="8" spans="1:16">
      <c r="A8" s="8">
        <v>46056</v>
      </c>
      <c r="B8" s="7" t="s">
        <v>22</v>
      </c>
      <c r="C8" s="7" t="s">
        <v>11</v>
      </c>
      <c r="D8" s="7" t="s">
        <v>12</v>
      </c>
      <c r="E8" s="7" t="s">
        <v>13</v>
      </c>
      <c r="F8" s="7">
        <v>10</v>
      </c>
      <c r="G8" s="7">
        <v>600000</v>
      </c>
      <c r="H8" s="7">
        <v>450000</v>
      </c>
      <c r="I8" s="7">
        <v>75000</v>
      </c>
      <c r="J8" s="7">
        <v>580000</v>
      </c>
      <c r="K8" s="7">
        <v>70000</v>
      </c>
      <c r="L8" s="7">
        <f>tbl_FinancialData[[#This Row],[Revenue]]-tbl_FinancialData[[#This Row],[COGS]]</f>
        <v>150000</v>
      </c>
      <c r="M8" s="13">
        <f>tbl_FinancialData[[#This Row],[Gross Profit]]/tbl_FinancialData[[#This Row],[Revenue]]</f>
        <v>0.25</v>
      </c>
      <c r="N8" s="7">
        <f>tbl_FinancialData[[#This Row],[Gross Profit]]-tbl_FinancialData[[#This Row],[Operating Expense]]</f>
        <v>75000</v>
      </c>
      <c r="O8" s="7">
        <f>tbl_FinancialData[[#This Row],[Revenue]]-tbl_FinancialData[[#This Row],[Budget Revenue]]</f>
        <v>20000</v>
      </c>
      <c r="P8" s="17">
        <f>tbl_FinancialData[[#This Row],[Revenue Variance]]/tbl_FinancialData[[#This Row],[Budget Revenue]]</f>
        <v>3.4482758620689655E-2</v>
      </c>
    </row>
    <row r="9" spans="1:16">
      <c r="A9" s="8">
        <v>46060</v>
      </c>
      <c r="B9" s="7" t="s">
        <v>22</v>
      </c>
      <c r="C9" s="7" t="s">
        <v>14</v>
      </c>
      <c r="D9" s="7" t="s">
        <v>17</v>
      </c>
      <c r="E9" s="7" t="s">
        <v>18</v>
      </c>
      <c r="F9" s="7">
        <v>22</v>
      </c>
      <c r="G9" s="7">
        <v>110000</v>
      </c>
      <c r="H9" s="7">
        <v>66000</v>
      </c>
      <c r="I9" s="7">
        <v>14000</v>
      </c>
      <c r="J9" s="7">
        <v>105000</v>
      </c>
      <c r="K9" s="7">
        <v>12000</v>
      </c>
      <c r="L9" s="7">
        <f>tbl_FinancialData[[#This Row],[Revenue]]-tbl_FinancialData[[#This Row],[COGS]]</f>
        <v>44000</v>
      </c>
      <c r="M9" s="13">
        <f>tbl_FinancialData[[#This Row],[Gross Profit]]/tbl_FinancialData[[#This Row],[Revenue]]</f>
        <v>0.4</v>
      </c>
      <c r="N9" s="7">
        <f>tbl_FinancialData[[#This Row],[Gross Profit]]-tbl_FinancialData[[#This Row],[Operating Expense]]</f>
        <v>30000</v>
      </c>
      <c r="O9" s="7">
        <f>tbl_FinancialData[[#This Row],[Revenue]]-tbl_FinancialData[[#This Row],[Budget Revenue]]</f>
        <v>5000</v>
      </c>
      <c r="P9" s="17">
        <f>tbl_FinancialData[[#This Row],[Revenue Variance]]/tbl_FinancialData[[#This Row],[Budget Revenue]]</f>
        <v>4.7619047619047616E-2</v>
      </c>
    </row>
    <row r="10" spans="1:16">
      <c r="A10" s="8">
        <v>46067</v>
      </c>
      <c r="B10" s="7" t="s">
        <v>22</v>
      </c>
      <c r="C10" s="7" t="s">
        <v>16</v>
      </c>
      <c r="D10" s="7" t="s">
        <v>19</v>
      </c>
      <c r="E10" s="7" t="s">
        <v>13</v>
      </c>
      <c r="F10" s="7">
        <v>18</v>
      </c>
      <c r="G10" s="7">
        <v>216000</v>
      </c>
      <c r="H10" s="7">
        <v>140400</v>
      </c>
      <c r="I10" s="7">
        <v>26000</v>
      </c>
      <c r="J10" s="7">
        <v>210000</v>
      </c>
      <c r="K10" s="7">
        <v>25000</v>
      </c>
      <c r="L10" s="7">
        <f>tbl_FinancialData[[#This Row],[Revenue]]-tbl_FinancialData[[#This Row],[COGS]]</f>
        <v>75600</v>
      </c>
      <c r="M10" s="13">
        <f>tbl_FinancialData[[#This Row],[Gross Profit]]/tbl_FinancialData[[#This Row],[Revenue]]</f>
        <v>0.35</v>
      </c>
      <c r="N10" s="7">
        <f>tbl_FinancialData[[#This Row],[Gross Profit]]-tbl_FinancialData[[#This Row],[Operating Expense]]</f>
        <v>49600</v>
      </c>
      <c r="O10" s="7">
        <f>tbl_FinancialData[[#This Row],[Revenue]]-tbl_FinancialData[[#This Row],[Budget Revenue]]</f>
        <v>6000</v>
      </c>
      <c r="P10" s="17">
        <f>tbl_FinancialData[[#This Row],[Revenue Variance]]/tbl_FinancialData[[#This Row],[Budget Revenue]]</f>
        <v>2.8571428571428571E-2</v>
      </c>
    </row>
    <row r="11" spans="1:16">
      <c r="A11" s="8">
        <v>46075</v>
      </c>
      <c r="B11" s="7" t="s">
        <v>22</v>
      </c>
      <c r="C11" s="7" t="s">
        <v>11</v>
      </c>
      <c r="D11" s="7" t="s">
        <v>20</v>
      </c>
      <c r="E11" s="7" t="s">
        <v>18</v>
      </c>
      <c r="F11" s="7">
        <v>12</v>
      </c>
      <c r="G11" s="7">
        <v>120000</v>
      </c>
      <c r="H11" s="7">
        <v>72000</v>
      </c>
      <c r="I11" s="7">
        <v>16000</v>
      </c>
      <c r="J11" s="7">
        <v>115000</v>
      </c>
      <c r="K11" s="7">
        <v>15000</v>
      </c>
      <c r="L11" s="7">
        <f>tbl_FinancialData[[#This Row],[Revenue]]-tbl_FinancialData[[#This Row],[COGS]]</f>
        <v>48000</v>
      </c>
      <c r="M11" s="13">
        <f>tbl_FinancialData[[#This Row],[Gross Profit]]/tbl_FinancialData[[#This Row],[Revenue]]</f>
        <v>0.4</v>
      </c>
      <c r="N11" s="7">
        <f>tbl_FinancialData[[#This Row],[Gross Profit]]-tbl_FinancialData[[#This Row],[Operating Expense]]</f>
        <v>32000</v>
      </c>
      <c r="O11" s="7">
        <f>tbl_FinancialData[[#This Row],[Revenue]]-tbl_FinancialData[[#This Row],[Budget Revenue]]</f>
        <v>5000</v>
      </c>
      <c r="P11" s="17">
        <f>tbl_FinancialData[[#This Row],[Revenue Variance]]/tbl_FinancialData[[#This Row],[Budget Revenue]]</f>
        <v>4.3478260869565216E-2</v>
      </c>
    </row>
    <row r="12" spans="1:16">
      <c r="A12" s="8">
        <v>46079</v>
      </c>
      <c r="B12" s="7" t="s">
        <v>22</v>
      </c>
      <c r="C12" s="7" t="s">
        <v>14</v>
      </c>
      <c r="D12" s="7" t="s">
        <v>21</v>
      </c>
      <c r="E12" s="7" t="s">
        <v>13</v>
      </c>
      <c r="F12" s="7">
        <v>30</v>
      </c>
      <c r="G12" s="7">
        <v>90000</v>
      </c>
      <c r="H12" s="7">
        <v>45000</v>
      </c>
      <c r="I12" s="7">
        <v>11000</v>
      </c>
      <c r="J12" s="7">
        <v>85000</v>
      </c>
      <c r="K12" s="7">
        <v>10000</v>
      </c>
      <c r="L12" s="7">
        <f>tbl_FinancialData[[#This Row],[Revenue]]-tbl_FinancialData[[#This Row],[COGS]]</f>
        <v>45000</v>
      </c>
      <c r="M12" s="13">
        <f>tbl_FinancialData[[#This Row],[Gross Profit]]/tbl_FinancialData[[#This Row],[Revenue]]</f>
        <v>0.5</v>
      </c>
      <c r="N12" s="7">
        <f>tbl_FinancialData[[#This Row],[Gross Profit]]-tbl_FinancialData[[#This Row],[Operating Expense]]</f>
        <v>34000</v>
      </c>
      <c r="O12" s="7">
        <f>tbl_FinancialData[[#This Row],[Revenue]]-tbl_FinancialData[[#This Row],[Budget Revenue]]</f>
        <v>5000</v>
      </c>
      <c r="P12" s="17">
        <f>tbl_FinancialData[[#This Row],[Revenue Variance]]/tbl_FinancialData[[#This Row],[Budget Revenue]]</f>
        <v>5.8823529411764705E-2</v>
      </c>
    </row>
    <row r="13" spans="1:16">
      <c r="A13" s="8">
        <v>46084</v>
      </c>
      <c r="B13" s="7" t="s">
        <v>23</v>
      </c>
      <c r="C13" s="7" t="s">
        <v>11</v>
      </c>
      <c r="D13" s="7" t="s">
        <v>12</v>
      </c>
      <c r="E13" s="7" t="s">
        <v>13</v>
      </c>
      <c r="F13" s="7">
        <v>14</v>
      </c>
      <c r="G13" s="7">
        <v>840000</v>
      </c>
      <c r="H13" s="7">
        <v>630000</v>
      </c>
      <c r="I13" s="7">
        <v>90000</v>
      </c>
      <c r="J13" s="7">
        <v>800000</v>
      </c>
      <c r="K13" s="7">
        <v>85000</v>
      </c>
      <c r="L13" s="7">
        <f>tbl_FinancialData[[#This Row],[Revenue]]-tbl_FinancialData[[#This Row],[COGS]]</f>
        <v>210000</v>
      </c>
      <c r="M13" s="13">
        <f>tbl_FinancialData[[#This Row],[Gross Profit]]/tbl_FinancialData[[#This Row],[Revenue]]</f>
        <v>0.25</v>
      </c>
      <c r="N13" s="7">
        <f>tbl_FinancialData[[#This Row],[Gross Profit]]-tbl_FinancialData[[#This Row],[Operating Expense]]</f>
        <v>120000</v>
      </c>
      <c r="O13" s="7">
        <f>tbl_FinancialData[[#This Row],[Revenue]]-tbl_FinancialData[[#This Row],[Budget Revenue]]</f>
        <v>40000</v>
      </c>
      <c r="P13" s="17">
        <f>tbl_FinancialData[[#This Row],[Revenue Variance]]/tbl_FinancialData[[#This Row],[Budget Revenue]]</f>
        <v>0.05</v>
      </c>
    </row>
    <row r="14" spans="1:16">
      <c r="A14" s="8">
        <v>46087</v>
      </c>
      <c r="B14" s="7" t="s">
        <v>23</v>
      </c>
      <c r="C14" s="7" t="s">
        <v>16</v>
      </c>
      <c r="D14" s="7" t="s">
        <v>17</v>
      </c>
      <c r="E14" s="7" t="s">
        <v>18</v>
      </c>
      <c r="F14" s="7">
        <v>20</v>
      </c>
      <c r="G14" s="7">
        <v>100000</v>
      </c>
      <c r="H14" s="7">
        <v>60000</v>
      </c>
      <c r="I14" s="7">
        <v>13000</v>
      </c>
      <c r="J14" s="7">
        <v>95000</v>
      </c>
      <c r="K14" s="7">
        <v>12000</v>
      </c>
      <c r="L14" s="7">
        <f>tbl_FinancialData[[#This Row],[Revenue]]-tbl_FinancialData[[#This Row],[COGS]]</f>
        <v>40000</v>
      </c>
      <c r="M14" s="13">
        <f>tbl_FinancialData[[#This Row],[Gross Profit]]/tbl_FinancialData[[#This Row],[Revenue]]</f>
        <v>0.4</v>
      </c>
      <c r="N14" s="7">
        <f>tbl_FinancialData[[#This Row],[Gross Profit]]-tbl_FinancialData[[#This Row],[Operating Expense]]</f>
        <v>27000</v>
      </c>
      <c r="O14" s="7">
        <f>tbl_FinancialData[[#This Row],[Revenue]]-tbl_FinancialData[[#This Row],[Budget Revenue]]</f>
        <v>5000</v>
      </c>
      <c r="P14" s="17">
        <f>tbl_FinancialData[[#This Row],[Revenue Variance]]/tbl_FinancialData[[#This Row],[Budget Revenue]]</f>
        <v>5.2631578947368418E-2</v>
      </c>
    </row>
    <row r="15" spans="1:16">
      <c r="A15" s="8">
        <v>46092</v>
      </c>
      <c r="B15" s="7" t="s">
        <v>23</v>
      </c>
      <c r="C15" s="7" t="s">
        <v>14</v>
      </c>
      <c r="D15" s="7" t="s">
        <v>19</v>
      </c>
      <c r="E15" s="7" t="s">
        <v>13</v>
      </c>
      <c r="F15" s="7">
        <v>15</v>
      </c>
      <c r="G15" s="7">
        <v>180000</v>
      </c>
      <c r="H15" s="7">
        <v>117000</v>
      </c>
      <c r="I15" s="7">
        <v>22000</v>
      </c>
      <c r="J15" s="7">
        <v>175000</v>
      </c>
      <c r="K15" s="7">
        <v>21000</v>
      </c>
      <c r="L15" s="7">
        <f>tbl_FinancialData[[#This Row],[Revenue]]-tbl_FinancialData[[#This Row],[COGS]]</f>
        <v>63000</v>
      </c>
      <c r="M15" s="13">
        <f>tbl_FinancialData[[#This Row],[Gross Profit]]/tbl_FinancialData[[#This Row],[Revenue]]</f>
        <v>0.35</v>
      </c>
      <c r="N15" s="7">
        <f>tbl_FinancialData[[#This Row],[Gross Profit]]-tbl_FinancialData[[#This Row],[Operating Expense]]</f>
        <v>41000</v>
      </c>
      <c r="O15" s="7">
        <f>tbl_FinancialData[[#This Row],[Revenue]]-tbl_FinancialData[[#This Row],[Budget Revenue]]</f>
        <v>5000</v>
      </c>
      <c r="P15" s="17">
        <f>tbl_FinancialData[[#This Row],[Revenue Variance]]/tbl_FinancialData[[#This Row],[Budget Revenue]]</f>
        <v>2.8571428571428571E-2</v>
      </c>
    </row>
    <row r="16" spans="1:16">
      <c r="A16" s="8">
        <v>46099</v>
      </c>
      <c r="B16" s="7" t="s">
        <v>23</v>
      </c>
      <c r="C16" s="7" t="s">
        <v>11</v>
      </c>
      <c r="D16" s="7" t="s">
        <v>20</v>
      </c>
      <c r="E16" s="7" t="s">
        <v>18</v>
      </c>
      <c r="F16" s="7">
        <v>14</v>
      </c>
      <c r="G16" s="7">
        <v>140000</v>
      </c>
      <c r="H16" s="7">
        <v>84000</v>
      </c>
      <c r="I16" s="7">
        <v>18000</v>
      </c>
      <c r="J16" s="7">
        <v>135000</v>
      </c>
      <c r="K16" s="7">
        <v>16000</v>
      </c>
      <c r="L16" s="7">
        <f>tbl_FinancialData[[#This Row],[Revenue]]-tbl_FinancialData[[#This Row],[COGS]]</f>
        <v>56000</v>
      </c>
      <c r="M16" s="13">
        <f>tbl_FinancialData[[#This Row],[Gross Profit]]/tbl_FinancialData[[#This Row],[Revenue]]</f>
        <v>0.4</v>
      </c>
      <c r="N16" s="7">
        <f>tbl_FinancialData[[#This Row],[Gross Profit]]-tbl_FinancialData[[#This Row],[Operating Expense]]</f>
        <v>38000</v>
      </c>
      <c r="O16" s="7">
        <f>tbl_FinancialData[[#This Row],[Revenue]]-tbl_FinancialData[[#This Row],[Budget Revenue]]</f>
        <v>5000</v>
      </c>
      <c r="P16" s="17">
        <f>tbl_FinancialData[[#This Row],[Revenue Variance]]/tbl_FinancialData[[#This Row],[Budget Revenue]]</f>
        <v>3.7037037037037035E-2</v>
      </c>
    </row>
    <row r="17" spans="1:16">
      <c r="A17" s="8">
        <v>46106</v>
      </c>
      <c r="B17" s="7" t="s">
        <v>23</v>
      </c>
      <c r="C17" s="7" t="s">
        <v>16</v>
      </c>
      <c r="D17" s="7" t="s">
        <v>15</v>
      </c>
      <c r="E17" s="7" t="s">
        <v>13</v>
      </c>
      <c r="F17" s="7">
        <v>42</v>
      </c>
      <c r="G17" s="7">
        <v>126000</v>
      </c>
      <c r="H17" s="7">
        <v>75600</v>
      </c>
      <c r="I17" s="7">
        <v>19000</v>
      </c>
      <c r="J17" s="7">
        <v>120000</v>
      </c>
      <c r="K17" s="7">
        <v>18000</v>
      </c>
      <c r="L17" s="7">
        <f>tbl_FinancialData[[#This Row],[Revenue]]-tbl_FinancialData[[#This Row],[COGS]]</f>
        <v>50400</v>
      </c>
      <c r="M17" s="13">
        <f>tbl_FinancialData[[#This Row],[Gross Profit]]/tbl_FinancialData[[#This Row],[Revenue]]</f>
        <v>0.4</v>
      </c>
      <c r="N17" s="7">
        <f>tbl_FinancialData[[#This Row],[Gross Profit]]-tbl_FinancialData[[#This Row],[Operating Expense]]</f>
        <v>31400</v>
      </c>
      <c r="O17" s="7">
        <f>tbl_FinancialData[[#This Row],[Revenue]]-tbl_FinancialData[[#This Row],[Budget Revenue]]</f>
        <v>6000</v>
      </c>
      <c r="P17" s="17">
        <f>tbl_FinancialData[[#This Row],[Revenue Variance]]/tbl_FinancialData[[#This Row],[Budget Revenue]]</f>
        <v>0.05</v>
      </c>
    </row>
    <row r="18" spans="1:16">
      <c r="A18" s="8">
        <v>46110</v>
      </c>
      <c r="B18" s="7" t="s">
        <v>23</v>
      </c>
      <c r="C18" s="7" t="s">
        <v>14</v>
      </c>
      <c r="D18" s="7" t="s">
        <v>21</v>
      </c>
      <c r="E18" s="7" t="s">
        <v>13</v>
      </c>
      <c r="F18" s="7">
        <v>28</v>
      </c>
      <c r="G18" s="7">
        <v>84000</v>
      </c>
      <c r="H18" s="7">
        <v>42000</v>
      </c>
      <c r="I18" s="7">
        <v>11000</v>
      </c>
      <c r="J18" s="7">
        <v>80000</v>
      </c>
      <c r="K18" s="7">
        <v>10000</v>
      </c>
      <c r="L18" s="7">
        <f>tbl_FinancialData[[#This Row],[Revenue]]-tbl_FinancialData[[#This Row],[COGS]]</f>
        <v>42000</v>
      </c>
      <c r="M18" s="13">
        <f>tbl_FinancialData[[#This Row],[Gross Profit]]/tbl_FinancialData[[#This Row],[Revenue]]</f>
        <v>0.5</v>
      </c>
      <c r="N18" s="7">
        <f>tbl_FinancialData[[#This Row],[Gross Profit]]-tbl_FinancialData[[#This Row],[Operating Expense]]</f>
        <v>31000</v>
      </c>
      <c r="O18" s="7">
        <f>tbl_FinancialData[[#This Row],[Revenue]]-tbl_FinancialData[[#This Row],[Budget Revenue]]</f>
        <v>4000</v>
      </c>
      <c r="P18" s="17">
        <f>tbl_FinancialData[[#This Row],[Revenue Variance]]/tbl_FinancialData[[#This Row],[Budget Revenue]]</f>
        <v>0.05</v>
      </c>
    </row>
    <row r="19" spans="1:16">
      <c r="A19" s="8">
        <v>46114</v>
      </c>
      <c r="B19" s="7" t="s">
        <v>24</v>
      </c>
      <c r="C19" s="7" t="s">
        <v>11</v>
      </c>
      <c r="D19" s="7" t="s">
        <v>12</v>
      </c>
      <c r="E19" s="7" t="s">
        <v>13</v>
      </c>
      <c r="F19" s="7">
        <v>11</v>
      </c>
      <c r="G19" s="7">
        <v>660000</v>
      </c>
      <c r="H19" s="7">
        <v>495000</v>
      </c>
      <c r="I19" s="7">
        <v>72000</v>
      </c>
      <c r="J19" s="7">
        <v>650000</v>
      </c>
      <c r="K19" s="7">
        <v>70000</v>
      </c>
      <c r="L19" s="7">
        <f>tbl_FinancialData[[#This Row],[Revenue]]-tbl_FinancialData[[#This Row],[COGS]]</f>
        <v>165000</v>
      </c>
      <c r="M19" s="13">
        <f>tbl_FinancialData[[#This Row],[Gross Profit]]/tbl_FinancialData[[#This Row],[Revenue]]</f>
        <v>0.25</v>
      </c>
      <c r="N19" s="7">
        <f>tbl_FinancialData[[#This Row],[Gross Profit]]-tbl_FinancialData[[#This Row],[Operating Expense]]</f>
        <v>93000</v>
      </c>
      <c r="O19" s="7">
        <f>tbl_FinancialData[[#This Row],[Revenue]]-tbl_FinancialData[[#This Row],[Budget Revenue]]</f>
        <v>10000</v>
      </c>
      <c r="P19" s="17">
        <f>tbl_FinancialData[[#This Row],[Revenue Variance]]/tbl_FinancialData[[#This Row],[Budget Revenue]]</f>
        <v>1.5384615384615385E-2</v>
      </c>
    </row>
    <row r="20" spans="1:16">
      <c r="A20" s="8">
        <v>46120</v>
      </c>
      <c r="B20" s="7" t="s">
        <v>24</v>
      </c>
      <c r="C20" s="7" t="s">
        <v>16</v>
      </c>
      <c r="D20" s="7" t="s">
        <v>17</v>
      </c>
      <c r="E20" s="7" t="s">
        <v>18</v>
      </c>
      <c r="F20" s="7">
        <v>25</v>
      </c>
      <c r="G20" s="7">
        <v>125000</v>
      </c>
      <c r="H20" s="7">
        <v>75000</v>
      </c>
      <c r="I20" s="7">
        <v>15000</v>
      </c>
      <c r="J20" s="7">
        <v>120000</v>
      </c>
      <c r="K20" s="7">
        <v>14000</v>
      </c>
      <c r="L20" s="7">
        <f>tbl_FinancialData[[#This Row],[Revenue]]-tbl_FinancialData[[#This Row],[COGS]]</f>
        <v>50000</v>
      </c>
      <c r="M20" s="13">
        <f>tbl_FinancialData[[#This Row],[Gross Profit]]/tbl_FinancialData[[#This Row],[Revenue]]</f>
        <v>0.4</v>
      </c>
      <c r="N20" s="7">
        <f>tbl_FinancialData[[#This Row],[Gross Profit]]-tbl_FinancialData[[#This Row],[Operating Expense]]</f>
        <v>35000</v>
      </c>
      <c r="O20" s="7">
        <f>tbl_FinancialData[[#This Row],[Revenue]]-tbl_FinancialData[[#This Row],[Budget Revenue]]</f>
        <v>5000</v>
      </c>
      <c r="P20" s="17">
        <f>tbl_FinancialData[[#This Row],[Revenue Variance]]/tbl_FinancialData[[#This Row],[Budget Revenue]]</f>
        <v>4.1666666666666664E-2</v>
      </c>
    </row>
    <row r="21" spans="1:16">
      <c r="A21" s="8">
        <v>46126</v>
      </c>
      <c r="B21" s="7" t="s">
        <v>24</v>
      </c>
      <c r="C21" s="7" t="s">
        <v>14</v>
      </c>
      <c r="D21" s="7" t="s">
        <v>19</v>
      </c>
      <c r="E21" s="7" t="s">
        <v>13</v>
      </c>
      <c r="F21" s="7">
        <v>22</v>
      </c>
      <c r="G21" s="7">
        <v>264000</v>
      </c>
      <c r="H21" s="7">
        <v>171600</v>
      </c>
      <c r="I21" s="7">
        <v>28000</v>
      </c>
      <c r="J21" s="7">
        <v>250000</v>
      </c>
      <c r="K21" s="7">
        <v>26000</v>
      </c>
      <c r="L21" s="7">
        <f>tbl_FinancialData[[#This Row],[Revenue]]-tbl_FinancialData[[#This Row],[COGS]]</f>
        <v>92400</v>
      </c>
      <c r="M21" s="13">
        <f>tbl_FinancialData[[#This Row],[Gross Profit]]/tbl_FinancialData[[#This Row],[Revenue]]</f>
        <v>0.35</v>
      </c>
      <c r="N21" s="7">
        <f>tbl_FinancialData[[#This Row],[Gross Profit]]-tbl_FinancialData[[#This Row],[Operating Expense]]</f>
        <v>64400</v>
      </c>
      <c r="O21" s="7">
        <f>tbl_FinancialData[[#This Row],[Revenue]]-tbl_FinancialData[[#This Row],[Budget Revenue]]</f>
        <v>14000</v>
      </c>
      <c r="P21" s="17">
        <f>tbl_FinancialData[[#This Row],[Revenue Variance]]/tbl_FinancialData[[#This Row],[Budget Revenue]]</f>
        <v>5.6000000000000001E-2</v>
      </c>
    </row>
    <row r="22" spans="1:16">
      <c r="A22" s="8">
        <v>46131</v>
      </c>
      <c r="B22" s="7" t="s">
        <v>24</v>
      </c>
      <c r="C22" s="7" t="s">
        <v>11</v>
      </c>
      <c r="D22" s="7" t="s">
        <v>20</v>
      </c>
      <c r="E22" s="7" t="s">
        <v>18</v>
      </c>
      <c r="F22" s="7">
        <v>16</v>
      </c>
      <c r="G22" s="7">
        <v>160000</v>
      </c>
      <c r="H22" s="7">
        <v>96000</v>
      </c>
      <c r="I22" s="7">
        <v>20000</v>
      </c>
      <c r="J22" s="7">
        <v>150000</v>
      </c>
      <c r="K22" s="7">
        <v>18000</v>
      </c>
      <c r="L22" s="7">
        <f>tbl_FinancialData[[#This Row],[Revenue]]-tbl_FinancialData[[#This Row],[COGS]]</f>
        <v>64000</v>
      </c>
      <c r="M22" s="13">
        <f>tbl_FinancialData[[#This Row],[Gross Profit]]/tbl_FinancialData[[#This Row],[Revenue]]</f>
        <v>0.4</v>
      </c>
      <c r="N22" s="7">
        <f>tbl_FinancialData[[#This Row],[Gross Profit]]-tbl_FinancialData[[#This Row],[Operating Expense]]</f>
        <v>44000</v>
      </c>
      <c r="O22" s="7">
        <f>tbl_FinancialData[[#This Row],[Revenue]]-tbl_FinancialData[[#This Row],[Budget Revenue]]</f>
        <v>10000</v>
      </c>
      <c r="P22" s="17">
        <f>tbl_FinancialData[[#This Row],[Revenue Variance]]/tbl_FinancialData[[#This Row],[Budget Revenue]]</f>
        <v>6.6666666666666666E-2</v>
      </c>
    </row>
    <row r="23" spans="1:16">
      <c r="A23" s="8">
        <v>46138</v>
      </c>
      <c r="B23" s="7" t="s">
        <v>24</v>
      </c>
      <c r="C23" s="7" t="s">
        <v>16</v>
      </c>
      <c r="D23" s="7" t="s">
        <v>21</v>
      </c>
      <c r="E23" s="7" t="s">
        <v>13</v>
      </c>
      <c r="F23" s="7">
        <v>35</v>
      </c>
      <c r="G23" s="7">
        <v>105000</v>
      </c>
      <c r="H23" s="7">
        <v>52500</v>
      </c>
      <c r="I23" s="7">
        <v>12000</v>
      </c>
      <c r="J23" s="7">
        <v>100000</v>
      </c>
      <c r="K23" s="7">
        <v>11000</v>
      </c>
      <c r="L23" s="7">
        <f>tbl_FinancialData[[#This Row],[Revenue]]-tbl_FinancialData[[#This Row],[COGS]]</f>
        <v>52500</v>
      </c>
      <c r="M23" s="13">
        <f>tbl_FinancialData[[#This Row],[Gross Profit]]/tbl_FinancialData[[#This Row],[Revenue]]</f>
        <v>0.5</v>
      </c>
      <c r="N23" s="7">
        <f>tbl_FinancialData[[#This Row],[Gross Profit]]-tbl_FinancialData[[#This Row],[Operating Expense]]</f>
        <v>40500</v>
      </c>
      <c r="O23" s="7">
        <f>tbl_FinancialData[[#This Row],[Revenue]]-tbl_FinancialData[[#This Row],[Budget Revenue]]</f>
        <v>5000</v>
      </c>
      <c r="P23" s="17">
        <f>tbl_FinancialData[[#This Row],[Revenue Variance]]/tbl_FinancialData[[#This Row],[Budget Revenue]]</f>
        <v>0.05</v>
      </c>
    </row>
    <row r="24" spans="1:16">
      <c r="A24" s="8">
        <v>46142</v>
      </c>
      <c r="B24" s="7" t="s">
        <v>24</v>
      </c>
      <c r="C24" s="7" t="s">
        <v>14</v>
      </c>
      <c r="D24" s="7" t="s">
        <v>15</v>
      </c>
      <c r="E24" s="7" t="s">
        <v>13</v>
      </c>
      <c r="F24" s="7">
        <v>45</v>
      </c>
      <c r="G24" s="7">
        <v>135000</v>
      </c>
      <c r="H24" s="7">
        <v>81000</v>
      </c>
      <c r="I24" s="7">
        <v>20000</v>
      </c>
      <c r="J24" s="7">
        <v>130000</v>
      </c>
      <c r="K24" s="7">
        <v>19000</v>
      </c>
      <c r="L24" s="7">
        <f>tbl_FinancialData[[#This Row],[Revenue]]-tbl_FinancialData[[#This Row],[COGS]]</f>
        <v>54000</v>
      </c>
      <c r="M24" s="13">
        <f>tbl_FinancialData[[#This Row],[Gross Profit]]/tbl_FinancialData[[#This Row],[Revenue]]</f>
        <v>0.4</v>
      </c>
      <c r="N24" s="7">
        <f>tbl_FinancialData[[#This Row],[Gross Profit]]-tbl_FinancialData[[#This Row],[Operating Expense]]</f>
        <v>34000</v>
      </c>
      <c r="O24" s="7">
        <f>tbl_FinancialData[[#This Row],[Revenue]]-tbl_FinancialData[[#This Row],[Budget Revenue]]</f>
        <v>5000</v>
      </c>
      <c r="P24" s="17">
        <f>tbl_FinancialData[[#This Row],[Revenue Variance]]/tbl_FinancialData[[#This Row],[Budget Revenue]]</f>
        <v>3.8461538461538464E-2</v>
      </c>
    </row>
    <row r="25" spans="1:16">
      <c r="A25" s="8">
        <v>46146</v>
      </c>
      <c r="B25" s="7" t="s">
        <v>25</v>
      </c>
      <c r="C25" s="7" t="s">
        <v>11</v>
      </c>
      <c r="D25" s="7" t="s">
        <v>12</v>
      </c>
      <c r="E25" s="7" t="s">
        <v>13</v>
      </c>
      <c r="F25" s="7">
        <v>13</v>
      </c>
      <c r="G25" s="7">
        <v>780000</v>
      </c>
      <c r="H25" s="7">
        <v>585000</v>
      </c>
      <c r="I25" s="7">
        <v>88000</v>
      </c>
      <c r="J25" s="7">
        <v>750000</v>
      </c>
      <c r="K25" s="7">
        <v>82000</v>
      </c>
      <c r="L25" s="7">
        <f>tbl_FinancialData[[#This Row],[Revenue]]-tbl_FinancialData[[#This Row],[COGS]]</f>
        <v>195000</v>
      </c>
      <c r="M25" s="13">
        <f>tbl_FinancialData[[#This Row],[Gross Profit]]/tbl_FinancialData[[#This Row],[Revenue]]</f>
        <v>0.25</v>
      </c>
      <c r="N25" s="7">
        <f>tbl_FinancialData[[#This Row],[Gross Profit]]-tbl_FinancialData[[#This Row],[Operating Expense]]</f>
        <v>107000</v>
      </c>
      <c r="O25" s="7">
        <f>tbl_FinancialData[[#This Row],[Revenue]]-tbl_FinancialData[[#This Row],[Budget Revenue]]</f>
        <v>30000</v>
      </c>
      <c r="P25" s="17">
        <f>tbl_FinancialData[[#This Row],[Revenue Variance]]/tbl_FinancialData[[#This Row],[Budget Revenue]]</f>
        <v>0.04</v>
      </c>
    </row>
    <row r="26" spans="1:16">
      <c r="A26" s="8">
        <v>46151</v>
      </c>
      <c r="B26" s="7" t="s">
        <v>25</v>
      </c>
      <c r="C26" s="7" t="s">
        <v>14</v>
      </c>
      <c r="D26" s="7" t="s">
        <v>17</v>
      </c>
      <c r="E26" s="7" t="s">
        <v>18</v>
      </c>
      <c r="F26" s="7">
        <v>24</v>
      </c>
      <c r="G26" s="7">
        <v>120000</v>
      </c>
      <c r="H26" s="7">
        <v>72000</v>
      </c>
      <c r="I26" s="7">
        <v>15000</v>
      </c>
      <c r="J26" s="7">
        <v>115000</v>
      </c>
      <c r="K26" s="7">
        <v>14000</v>
      </c>
      <c r="L26" s="7">
        <f>tbl_FinancialData[[#This Row],[Revenue]]-tbl_FinancialData[[#This Row],[COGS]]</f>
        <v>48000</v>
      </c>
      <c r="M26" s="13">
        <f>tbl_FinancialData[[#This Row],[Gross Profit]]/tbl_FinancialData[[#This Row],[Revenue]]</f>
        <v>0.4</v>
      </c>
      <c r="N26" s="7">
        <f>tbl_FinancialData[[#This Row],[Gross Profit]]-tbl_FinancialData[[#This Row],[Operating Expense]]</f>
        <v>33000</v>
      </c>
      <c r="O26" s="7">
        <f>tbl_FinancialData[[#This Row],[Revenue]]-tbl_FinancialData[[#This Row],[Budget Revenue]]</f>
        <v>5000</v>
      </c>
      <c r="P26" s="17">
        <f>tbl_FinancialData[[#This Row],[Revenue Variance]]/tbl_FinancialData[[#This Row],[Budget Revenue]]</f>
        <v>4.3478260869565216E-2</v>
      </c>
    </row>
    <row r="27" spans="1:16">
      <c r="A27" s="8">
        <v>46157</v>
      </c>
      <c r="B27" s="7" t="s">
        <v>25</v>
      </c>
      <c r="C27" s="7" t="s">
        <v>16</v>
      </c>
      <c r="D27" s="7" t="s">
        <v>19</v>
      </c>
      <c r="E27" s="7" t="s">
        <v>13</v>
      </c>
      <c r="F27" s="7">
        <v>20</v>
      </c>
      <c r="G27" s="7">
        <v>240000</v>
      </c>
      <c r="H27" s="7">
        <v>156000</v>
      </c>
      <c r="I27" s="7">
        <v>25000</v>
      </c>
      <c r="J27" s="7">
        <v>230000</v>
      </c>
      <c r="K27" s="7">
        <v>24000</v>
      </c>
      <c r="L27" s="7">
        <f>tbl_FinancialData[[#This Row],[Revenue]]-tbl_FinancialData[[#This Row],[COGS]]</f>
        <v>84000</v>
      </c>
      <c r="M27" s="13">
        <f>tbl_FinancialData[[#This Row],[Gross Profit]]/tbl_FinancialData[[#This Row],[Revenue]]</f>
        <v>0.35</v>
      </c>
      <c r="N27" s="7">
        <f>tbl_FinancialData[[#This Row],[Gross Profit]]-tbl_FinancialData[[#This Row],[Operating Expense]]</f>
        <v>59000</v>
      </c>
      <c r="O27" s="7">
        <f>tbl_FinancialData[[#This Row],[Revenue]]-tbl_FinancialData[[#This Row],[Budget Revenue]]</f>
        <v>10000</v>
      </c>
      <c r="P27" s="17">
        <f>tbl_FinancialData[[#This Row],[Revenue Variance]]/tbl_FinancialData[[#This Row],[Budget Revenue]]</f>
        <v>4.3478260869565216E-2</v>
      </c>
    </row>
    <row r="28" spans="1:16">
      <c r="A28" s="8">
        <v>46162</v>
      </c>
      <c r="B28" s="7" t="s">
        <v>25</v>
      </c>
      <c r="C28" s="7" t="s">
        <v>11</v>
      </c>
      <c r="D28" s="7" t="s">
        <v>20</v>
      </c>
      <c r="E28" s="7" t="s">
        <v>18</v>
      </c>
      <c r="F28" s="7">
        <v>18</v>
      </c>
      <c r="G28" s="7">
        <v>180000</v>
      </c>
      <c r="H28" s="7">
        <v>108000</v>
      </c>
      <c r="I28" s="7">
        <v>21000</v>
      </c>
      <c r="J28" s="7">
        <v>170000</v>
      </c>
      <c r="K28" s="7">
        <v>19000</v>
      </c>
      <c r="L28" s="7">
        <f>tbl_FinancialData[[#This Row],[Revenue]]-tbl_FinancialData[[#This Row],[COGS]]</f>
        <v>72000</v>
      </c>
      <c r="M28" s="13">
        <f>tbl_FinancialData[[#This Row],[Gross Profit]]/tbl_FinancialData[[#This Row],[Revenue]]</f>
        <v>0.4</v>
      </c>
      <c r="N28" s="7">
        <f>tbl_FinancialData[[#This Row],[Gross Profit]]-tbl_FinancialData[[#This Row],[Operating Expense]]</f>
        <v>51000</v>
      </c>
      <c r="O28" s="7">
        <f>tbl_FinancialData[[#This Row],[Revenue]]-tbl_FinancialData[[#This Row],[Budget Revenue]]</f>
        <v>10000</v>
      </c>
      <c r="P28" s="17">
        <f>tbl_FinancialData[[#This Row],[Revenue Variance]]/tbl_FinancialData[[#This Row],[Budget Revenue]]</f>
        <v>5.8823529411764705E-2</v>
      </c>
    </row>
    <row r="29" spans="1:16">
      <c r="A29" s="8">
        <v>46169</v>
      </c>
      <c r="B29" s="7" t="s">
        <v>25</v>
      </c>
      <c r="C29" s="7" t="s">
        <v>14</v>
      </c>
      <c r="D29" s="7" t="s">
        <v>21</v>
      </c>
      <c r="E29" s="7" t="s">
        <v>13</v>
      </c>
      <c r="F29" s="7">
        <v>32</v>
      </c>
      <c r="G29" s="7">
        <v>96000</v>
      </c>
      <c r="H29" s="7">
        <v>48000</v>
      </c>
      <c r="I29" s="7">
        <v>12000</v>
      </c>
      <c r="J29" s="7">
        <v>90000</v>
      </c>
      <c r="K29" s="7">
        <v>11000</v>
      </c>
      <c r="L29" s="7">
        <f>tbl_FinancialData[[#This Row],[Revenue]]-tbl_FinancialData[[#This Row],[COGS]]</f>
        <v>48000</v>
      </c>
      <c r="M29" s="13">
        <f>tbl_FinancialData[[#This Row],[Gross Profit]]/tbl_FinancialData[[#This Row],[Revenue]]</f>
        <v>0.5</v>
      </c>
      <c r="N29" s="7">
        <f>tbl_FinancialData[[#This Row],[Gross Profit]]-tbl_FinancialData[[#This Row],[Operating Expense]]</f>
        <v>36000</v>
      </c>
      <c r="O29" s="7">
        <f>tbl_FinancialData[[#This Row],[Revenue]]-tbl_FinancialData[[#This Row],[Budget Revenue]]</f>
        <v>6000</v>
      </c>
      <c r="P29" s="17">
        <f>tbl_FinancialData[[#This Row],[Revenue Variance]]/tbl_FinancialData[[#This Row],[Budget Revenue]]</f>
        <v>6.6666666666666666E-2</v>
      </c>
    </row>
    <row r="30" spans="1:16">
      <c r="A30" s="8">
        <v>46172</v>
      </c>
      <c r="B30" s="7" t="s">
        <v>25</v>
      </c>
      <c r="C30" s="7" t="s">
        <v>16</v>
      </c>
      <c r="D30" s="7" t="s">
        <v>15</v>
      </c>
      <c r="E30" s="7" t="s">
        <v>13</v>
      </c>
      <c r="F30" s="7">
        <v>48</v>
      </c>
      <c r="G30" s="7">
        <v>144000</v>
      </c>
      <c r="H30" s="7">
        <v>86400</v>
      </c>
      <c r="I30" s="7">
        <v>22000</v>
      </c>
      <c r="J30" s="7">
        <v>140000</v>
      </c>
      <c r="K30" s="7">
        <v>20000</v>
      </c>
      <c r="L30" s="7">
        <f>tbl_FinancialData[[#This Row],[Revenue]]-tbl_FinancialData[[#This Row],[COGS]]</f>
        <v>57600</v>
      </c>
      <c r="M30" s="13">
        <f>tbl_FinancialData[[#This Row],[Gross Profit]]/tbl_FinancialData[[#This Row],[Revenue]]</f>
        <v>0.4</v>
      </c>
      <c r="N30" s="7">
        <f>tbl_FinancialData[[#This Row],[Gross Profit]]-tbl_FinancialData[[#This Row],[Operating Expense]]</f>
        <v>35600</v>
      </c>
      <c r="O30" s="7">
        <f>tbl_FinancialData[[#This Row],[Revenue]]-tbl_FinancialData[[#This Row],[Budget Revenue]]</f>
        <v>4000</v>
      </c>
      <c r="P30" s="17">
        <f>tbl_FinancialData[[#This Row],[Revenue Variance]]/tbl_FinancialData[[#This Row],[Budget Revenue]]</f>
        <v>2.8571428571428571E-2</v>
      </c>
    </row>
    <row r="31" spans="1:16">
      <c r="A31" s="8">
        <v>46176</v>
      </c>
      <c r="B31" s="7" t="s">
        <v>26</v>
      </c>
      <c r="C31" s="7" t="s">
        <v>11</v>
      </c>
      <c r="D31" s="7" t="s">
        <v>12</v>
      </c>
      <c r="E31" s="7" t="s">
        <v>13</v>
      </c>
      <c r="F31" s="7">
        <v>15</v>
      </c>
      <c r="G31" s="7">
        <v>900000</v>
      </c>
      <c r="H31" s="7">
        <v>675000</v>
      </c>
      <c r="I31" s="7">
        <v>95000</v>
      </c>
      <c r="J31" s="7">
        <v>850000</v>
      </c>
      <c r="K31" s="7">
        <v>90000</v>
      </c>
      <c r="L31" s="7">
        <f>tbl_FinancialData[[#This Row],[Revenue]]-tbl_FinancialData[[#This Row],[COGS]]</f>
        <v>225000</v>
      </c>
      <c r="M31" s="13">
        <f>tbl_FinancialData[[#This Row],[Gross Profit]]/tbl_FinancialData[[#This Row],[Revenue]]</f>
        <v>0.25</v>
      </c>
      <c r="N31" s="7">
        <f>tbl_FinancialData[[#This Row],[Gross Profit]]-tbl_FinancialData[[#This Row],[Operating Expense]]</f>
        <v>130000</v>
      </c>
      <c r="O31" s="7">
        <f>tbl_FinancialData[[#This Row],[Revenue]]-tbl_FinancialData[[#This Row],[Budget Revenue]]</f>
        <v>50000</v>
      </c>
      <c r="P31" s="17">
        <f>tbl_FinancialData[[#This Row],[Revenue Variance]]/tbl_FinancialData[[#This Row],[Budget Revenue]]</f>
        <v>5.8823529411764705E-2</v>
      </c>
    </row>
    <row r="32" spans="1:16">
      <c r="A32" s="8">
        <v>46181</v>
      </c>
      <c r="B32" s="7" t="s">
        <v>26</v>
      </c>
      <c r="C32" s="7" t="s">
        <v>14</v>
      </c>
      <c r="D32" s="7" t="s">
        <v>17</v>
      </c>
      <c r="E32" s="7" t="s">
        <v>18</v>
      </c>
      <c r="F32" s="7">
        <v>28</v>
      </c>
      <c r="G32" s="7">
        <v>140000</v>
      </c>
      <c r="H32" s="7">
        <v>84000</v>
      </c>
      <c r="I32" s="7">
        <v>17000</v>
      </c>
      <c r="J32" s="7">
        <v>130000</v>
      </c>
      <c r="K32" s="7">
        <v>16000</v>
      </c>
      <c r="L32" s="7">
        <f>tbl_FinancialData[[#This Row],[Revenue]]-tbl_FinancialData[[#This Row],[COGS]]</f>
        <v>56000</v>
      </c>
      <c r="M32" s="13">
        <f>tbl_FinancialData[[#This Row],[Gross Profit]]/tbl_FinancialData[[#This Row],[Revenue]]</f>
        <v>0.4</v>
      </c>
      <c r="N32" s="7">
        <f>tbl_FinancialData[[#This Row],[Gross Profit]]-tbl_FinancialData[[#This Row],[Operating Expense]]</f>
        <v>39000</v>
      </c>
      <c r="O32" s="7">
        <f>tbl_FinancialData[[#This Row],[Revenue]]-tbl_FinancialData[[#This Row],[Budget Revenue]]</f>
        <v>10000</v>
      </c>
      <c r="P32" s="17">
        <f>tbl_FinancialData[[#This Row],[Revenue Variance]]/tbl_FinancialData[[#This Row],[Budget Revenue]]</f>
        <v>7.6923076923076927E-2</v>
      </c>
    </row>
    <row r="33" spans="1:16">
      <c r="A33" s="8">
        <v>46186</v>
      </c>
      <c r="B33" s="7" t="s">
        <v>26</v>
      </c>
      <c r="C33" s="7" t="s">
        <v>16</v>
      </c>
      <c r="D33" s="7" t="s">
        <v>19</v>
      </c>
      <c r="E33" s="7" t="s">
        <v>13</v>
      </c>
      <c r="F33" s="7">
        <v>24</v>
      </c>
      <c r="G33" s="7">
        <v>288000</v>
      </c>
      <c r="H33" s="7">
        <v>187200</v>
      </c>
      <c r="I33" s="7">
        <v>30000</v>
      </c>
      <c r="J33" s="7">
        <v>275000</v>
      </c>
      <c r="K33" s="7">
        <v>28000</v>
      </c>
      <c r="L33" s="7">
        <f>tbl_FinancialData[[#This Row],[Revenue]]-tbl_FinancialData[[#This Row],[COGS]]</f>
        <v>100800</v>
      </c>
      <c r="M33" s="13">
        <f>tbl_FinancialData[[#This Row],[Gross Profit]]/tbl_FinancialData[[#This Row],[Revenue]]</f>
        <v>0.35</v>
      </c>
      <c r="N33" s="7">
        <f>tbl_FinancialData[[#This Row],[Gross Profit]]-tbl_FinancialData[[#This Row],[Operating Expense]]</f>
        <v>70800</v>
      </c>
      <c r="O33" s="7">
        <f>tbl_FinancialData[[#This Row],[Revenue]]-tbl_FinancialData[[#This Row],[Budget Revenue]]</f>
        <v>13000</v>
      </c>
      <c r="P33" s="17">
        <f>tbl_FinancialData[[#This Row],[Revenue Variance]]/tbl_FinancialData[[#This Row],[Budget Revenue]]</f>
        <v>4.7272727272727272E-2</v>
      </c>
    </row>
    <row r="34" spans="1:16">
      <c r="A34" s="8">
        <v>46191</v>
      </c>
      <c r="B34" s="7" t="s">
        <v>26</v>
      </c>
      <c r="C34" s="7" t="s">
        <v>11</v>
      </c>
      <c r="D34" s="7" t="s">
        <v>20</v>
      </c>
      <c r="E34" s="7" t="s">
        <v>18</v>
      </c>
      <c r="F34" s="7">
        <v>20</v>
      </c>
      <c r="G34" s="7">
        <v>200000</v>
      </c>
      <c r="H34" s="7">
        <v>120000</v>
      </c>
      <c r="I34" s="7">
        <v>23000</v>
      </c>
      <c r="J34" s="7">
        <v>190000</v>
      </c>
      <c r="K34" s="7">
        <v>22000</v>
      </c>
      <c r="L34" s="7">
        <f>tbl_FinancialData[[#This Row],[Revenue]]-tbl_FinancialData[[#This Row],[COGS]]</f>
        <v>80000</v>
      </c>
      <c r="M34" s="13">
        <f>tbl_FinancialData[[#This Row],[Gross Profit]]/tbl_FinancialData[[#This Row],[Revenue]]</f>
        <v>0.4</v>
      </c>
      <c r="N34" s="7">
        <f>tbl_FinancialData[[#This Row],[Gross Profit]]-tbl_FinancialData[[#This Row],[Operating Expense]]</f>
        <v>57000</v>
      </c>
      <c r="O34" s="7">
        <f>tbl_FinancialData[[#This Row],[Revenue]]-tbl_FinancialData[[#This Row],[Budget Revenue]]</f>
        <v>10000</v>
      </c>
      <c r="P34" s="17">
        <f>tbl_FinancialData[[#This Row],[Revenue Variance]]/tbl_FinancialData[[#This Row],[Budget Revenue]]</f>
        <v>5.2631578947368418E-2</v>
      </c>
    </row>
    <row r="35" spans="1:16">
      <c r="A35" s="8">
        <v>46197</v>
      </c>
      <c r="B35" s="7" t="s">
        <v>26</v>
      </c>
      <c r="C35" s="7" t="s">
        <v>14</v>
      </c>
      <c r="D35" s="7" t="s">
        <v>21</v>
      </c>
      <c r="E35" s="7" t="s">
        <v>13</v>
      </c>
      <c r="F35" s="7">
        <v>40</v>
      </c>
      <c r="G35" s="7">
        <v>120000</v>
      </c>
      <c r="H35" s="7">
        <v>60000</v>
      </c>
      <c r="I35" s="7">
        <v>14000</v>
      </c>
      <c r="J35" s="7">
        <v>115000</v>
      </c>
      <c r="K35" s="7">
        <v>13000</v>
      </c>
      <c r="L35" s="7">
        <f>tbl_FinancialData[[#This Row],[Revenue]]-tbl_FinancialData[[#This Row],[COGS]]</f>
        <v>60000</v>
      </c>
      <c r="M35" s="13">
        <f>tbl_FinancialData[[#This Row],[Gross Profit]]/tbl_FinancialData[[#This Row],[Revenue]]</f>
        <v>0.5</v>
      </c>
      <c r="N35" s="7">
        <f>tbl_FinancialData[[#This Row],[Gross Profit]]-tbl_FinancialData[[#This Row],[Operating Expense]]</f>
        <v>46000</v>
      </c>
      <c r="O35" s="7">
        <f>tbl_FinancialData[[#This Row],[Revenue]]-tbl_FinancialData[[#This Row],[Budget Revenue]]</f>
        <v>5000</v>
      </c>
      <c r="P35" s="17">
        <f>tbl_FinancialData[[#This Row],[Revenue Variance]]/tbl_FinancialData[[#This Row],[Budget Revenue]]</f>
        <v>4.3478260869565216E-2</v>
      </c>
    </row>
    <row r="36" spans="1:16">
      <c r="A36" s="8">
        <v>46202</v>
      </c>
      <c r="B36" s="7" t="s">
        <v>26</v>
      </c>
      <c r="C36" s="7" t="s">
        <v>16</v>
      </c>
      <c r="D36" s="7" t="s">
        <v>15</v>
      </c>
      <c r="E36" s="7" t="s">
        <v>13</v>
      </c>
      <c r="F36" s="7">
        <v>50</v>
      </c>
      <c r="G36" s="7">
        <v>150000</v>
      </c>
      <c r="H36" s="7">
        <v>90000</v>
      </c>
      <c r="I36" s="7">
        <v>24000</v>
      </c>
      <c r="J36" s="7">
        <v>145000</v>
      </c>
      <c r="K36" s="7">
        <v>22000</v>
      </c>
      <c r="L36" s="7">
        <f>tbl_FinancialData[[#This Row],[Revenue]]-tbl_FinancialData[[#This Row],[COGS]]</f>
        <v>60000</v>
      </c>
      <c r="M36" s="13">
        <f>tbl_FinancialData[[#This Row],[Gross Profit]]/tbl_FinancialData[[#This Row],[Revenue]]</f>
        <v>0.4</v>
      </c>
      <c r="N36" s="7">
        <f>tbl_FinancialData[[#This Row],[Gross Profit]]-tbl_FinancialData[[#This Row],[Operating Expense]]</f>
        <v>36000</v>
      </c>
      <c r="O36" s="7">
        <f>tbl_FinancialData[[#This Row],[Revenue]]-tbl_FinancialData[[#This Row],[Budget Revenue]]</f>
        <v>5000</v>
      </c>
      <c r="P36" s="17">
        <f>tbl_FinancialData[[#This Row],[Revenue Variance]]/tbl_FinancialData[[#This Row],[Budget Revenue]]</f>
        <v>3.4482758620689655E-2</v>
      </c>
    </row>
    <row r="37" spans="1:16">
      <c r="A37" s="8">
        <v>46205</v>
      </c>
      <c r="B37" s="7" t="s">
        <v>27</v>
      </c>
      <c r="C37" s="7" t="s">
        <v>11</v>
      </c>
      <c r="D37" s="7" t="s">
        <v>12</v>
      </c>
      <c r="E37" s="7" t="s">
        <v>13</v>
      </c>
      <c r="F37" s="7">
        <v>16</v>
      </c>
      <c r="G37" s="7">
        <v>960000</v>
      </c>
      <c r="H37" s="7">
        <v>720000</v>
      </c>
      <c r="I37" s="7">
        <v>100000</v>
      </c>
      <c r="J37" s="7">
        <v>920000</v>
      </c>
      <c r="K37" s="7">
        <v>95000</v>
      </c>
      <c r="L37" s="7">
        <f>tbl_FinancialData[[#This Row],[Revenue]]-tbl_FinancialData[[#This Row],[COGS]]</f>
        <v>240000</v>
      </c>
      <c r="M37" s="13">
        <f>tbl_FinancialData[[#This Row],[Gross Profit]]/tbl_FinancialData[[#This Row],[Revenue]]</f>
        <v>0.25</v>
      </c>
      <c r="N37" s="7">
        <f>tbl_FinancialData[[#This Row],[Gross Profit]]-tbl_FinancialData[[#This Row],[Operating Expense]]</f>
        <v>140000</v>
      </c>
      <c r="O37" s="7">
        <f>tbl_FinancialData[[#This Row],[Revenue]]-tbl_FinancialData[[#This Row],[Budget Revenue]]</f>
        <v>40000</v>
      </c>
      <c r="P37" s="17">
        <f>tbl_FinancialData[[#This Row],[Revenue Variance]]/tbl_FinancialData[[#This Row],[Budget Revenue]]</f>
        <v>4.3478260869565216E-2</v>
      </c>
    </row>
    <row r="38" spans="1:16">
      <c r="A38" s="8">
        <v>46210</v>
      </c>
      <c r="B38" s="7" t="s">
        <v>27</v>
      </c>
      <c r="C38" s="7" t="s">
        <v>14</v>
      </c>
      <c r="D38" s="7" t="s">
        <v>17</v>
      </c>
      <c r="E38" s="7" t="s">
        <v>18</v>
      </c>
      <c r="F38" s="7">
        <v>30</v>
      </c>
      <c r="G38" s="7">
        <v>150000</v>
      </c>
      <c r="H38" s="7">
        <v>90000</v>
      </c>
      <c r="I38" s="7">
        <v>18000</v>
      </c>
      <c r="J38" s="7">
        <v>140000</v>
      </c>
      <c r="K38" s="7">
        <v>17000</v>
      </c>
      <c r="L38" s="7">
        <f>tbl_FinancialData[[#This Row],[Revenue]]-tbl_FinancialData[[#This Row],[COGS]]</f>
        <v>60000</v>
      </c>
      <c r="M38" s="13">
        <f>tbl_FinancialData[[#This Row],[Gross Profit]]/tbl_FinancialData[[#This Row],[Revenue]]</f>
        <v>0.4</v>
      </c>
      <c r="N38" s="7">
        <f>tbl_FinancialData[[#This Row],[Gross Profit]]-tbl_FinancialData[[#This Row],[Operating Expense]]</f>
        <v>42000</v>
      </c>
      <c r="O38" s="7">
        <f>tbl_FinancialData[[#This Row],[Revenue]]-tbl_FinancialData[[#This Row],[Budget Revenue]]</f>
        <v>10000</v>
      </c>
      <c r="P38" s="17">
        <f>tbl_FinancialData[[#This Row],[Revenue Variance]]/tbl_FinancialData[[#This Row],[Budget Revenue]]</f>
        <v>7.1428571428571425E-2</v>
      </c>
    </row>
    <row r="39" spans="1:16">
      <c r="A39" s="8">
        <v>46215</v>
      </c>
      <c r="B39" s="7" t="s">
        <v>27</v>
      </c>
      <c r="C39" s="7" t="s">
        <v>16</v>
      </c>
      <c r="D39" s="7" t="s">
        <v>19</v>
      </c>
      <c r="E39" s="7" t="s">
        <v>13</v>
      </c>
      <c r="F39" s="7">
        <v>26</v>
      </c>
      <c r="G39" s="7">
        <v>312000</v>
      </c>
      <c r="H39" s="7">
        <v>202800</v>
      </c>
      <c r="I39" s="7">
        <v>32000</v>
      </c>
      <c r="J39" s="7">
        <v>300000</v>
      </c>
      <c r="K39" s="7">
        <v>30000</v>
      </c>
      <c r="L39" s="7">
        <f>tbl_FinancialData[[#This Row],[Revenue]]-tbl_FinancialData[[#This Row],[COGS]]</f>
        <v>109200</v>
      </c>
      <c r="M39" s="13">
        <f>tbl_FinancialData[[#This Row],[Gross Profit]]/tbl_FinancialData[[#This Row],[Revenue]]</f>
        <v>0.35</v>
      </c>
      <c r="N39" s="7">
        <f>tbl_FinancialData[[#This Row],[Gross Profit]]-tbl_FinancialData[[#This Row],[Operating Expense]]</f>
        <v>77200</v>
      </c>
      <c r="O39" s="7">
        <f>tbl_FinancialData[[#This Row],[Revenue]]-tbl_FinancialData[[#This Row],[Budget Revenue]]</f>
        <v>12000</v>
      </c>
      <c r="P39" s="17">
        <f>tbl_FinancialData[[#This Row],[Revenue Variance]]/tbl_FinancialData[[#This Row],[Budget Revenue]]</f>
        <v>0.04</v>
      </c>
    </row>
    <row r="40" spans="1:16">
      <c r="A40" s="8">
        <v>46221</v>
      </c>
      <c r="B40" s="7" t="s">
        <v>27</v>
      </c>
      <c r="C40" s="7" t="s">
        <v>11</v>
      </c>
      <c r="D40" s="7" t="s">
        <v>20</v>
      </c>
      <c r="E40" s="7" t="s">
        <v>18</v>
      </c>
      <c r="F40" s="7">
        <v>22</v>
      </c>
      <c r="G40" s="7">
        <v>220000</v>
      </c>
      <c r="H40" s="7">
        <v>132000</v>
      </c>
      <c r="I40" s="7">
        <v>25000</v>
      </c>
      <c r="J40" s="7">
        <v>210000</v>
      </c>
      <c r="K40" s="7">
        <v>24000</v>
      </c>
      <c r="L40" s="7">
        <f>tbl_FinancialData[[#This Row],[Revenue]]-tbl_FinancialData[[#This Row],[COGS]]</f>
        <v>88000</v>
      </c>
      <c r="M40" s="13">
        <f>tbl_FinancialData[[#This Row],[Gross Profit]]/tbl_FinancialData[[#This Row],[Revenue]]</f>
        <v>0.4</v>
      </c>
      <c r="N40" s="7">
        <f>tbl_FinancialData[[#This Row],[Gross Profit]]-tbl_FinancialData[[#This Row],[Operating Expense]]</f>
        <v>63000</v>
      </c>
      <c r="O40" s="7">
        <f>tbl_FinancialData[[#This Row],[Revenue]]-tbl_FinancialData[[#This Row],[Budget Revenue]]</f>
        <v>10000</v>
      </c>
      <c r="P40" s="17">
        <f>tbl_FinancialData[[#This Row],[Revenue Variance]]/tbl_FinancialData[[#This Row],[Budget Revenue]]</f>
        <v>4.7619047619047616E-2</v>
      </c>
    </row>
    <row r="41" spans="1:16">
      <c r="A41" s="8">
        <v>46227</v>
      </c>
      <c r="B41" s="7" t="s">
        <v>27</v>
      </c>
      <c r="C41" s="7" t="s">
        <v>14</v>
      </c>
      <c r="D41" s="7" t="s">
        <v>21</v>
      </c>
      <c r="E41" s="7" t="s">
        <v>13</v>
      </c>
      <c r="F41" s="7">
        <v>44</v>
      </c>
      <c r="G41" s="7">
        <v>132000</v>
      </c>
      <c r="H41" s="7">
        <v>66000</v>
      </c>
      <c r="I41" s="7">
        <v>15000</v>
      </c>
      <c r="J41" s="7">
        <v>125000</v>
      </c>
      <c r="K41" s="7">
        <v>14000</v>
      </c>
      <c r="L41" s="7">
        <f>tbl_FinancialData[[#This Row],[Revenue]]-tbl_FinancialData[[#This Row],[COGS]]</f>
        <v>66000</v>
      </c>
      <c r="M41" s="13">
        <f>tbl_FinancialData[[#This Row],[Gross Profit]]/tbl_FinancialData[[#This Row],[Revenue]]</f>
        <v>0.5</v>
      </c>
      <c r="N41" s="7">
        <f>tbl_FinancialData[[#This Row],[Gross Profit]]-tbl_FinancialData[[#This Row],[Operating Expense]]</f>
        <v>51000</v>
      </c>
      <c r="O41" s="7">
        <f>tbl_FinancialData[[#This Row],[Revenue]]-tbl_FinancialData[[#This Row],[Budget Revenue]]</f>
        <v>7000</v>
      </c>
      <c r="P41" s="17">
        <f>tbl_FinancialData[[#This Row],[Revenue Variance]]/tbl_FinancialData[[#This Row],[Budget Revenue]]</f>
        <v>5.6000000000000001E-2</v>
      </c>
    </row>
    <row r="42" spans="1:16">
      <c r="A42" s="8">
        <v>46232</v>
      </c>
      <c r="B42" s="7" t="s">
        <v>27</v>
      </c>
      <c r="C42" s="7" t="s">
        <v>16</v>
      </c>
      <c r="D42" s="7" t="s">
        <v>15</v>
      </c>
      <c r="E42" s="7" t="s">
        <v>13</v>
      </c>
      <c r="F42" s="7">
        <v>55</v>
      </c>
      <c r="G42" s="7">
        <v>165000</v>
      </c>
      <c r="H42" s="7">
        <v>99000</v>
      </c>
      <c r="I42" s="7">
        <v>26000</v>
      </c>
      <c r="J42" s="7">
        <v>155000</v>
      </c>
      <c r="K42" s="7">
        <v>24000</v>
      </c>
      <c r="L42" s="7">
        <f>tbl_FinancialData[[#This Row],[Revenue]]-tbl_FinancialData[[#This Row],[COGS]]</f>
        <v>66000</v>
      </c>
      <c r="M42" s="13">
        <f>tbl_FinancialData[[#This Row],[Gross Profit]]/tbl_FinancialData[[#This Row],[Revenue]]</f>
        <v>0.4</v>
      </c>
      <c r="N42" s="7">
        <f>tbl_FinancialData[[#This Row],[Gross Profit]]-tbl_FinancialData[[#This Row],[Operating Expense]]</f>
        <v>40000</v>
      </c>
      <c r="O42" s="7">
        <f>tbl_FinancialData[[#This Row],[Revenue]]-tbl_FinancialData[[#This Row],[Budget Revenue]]</f>
        <v>10000</v>
      </c>
      <c r="P42" s="17">
        <f>tbl_FinancialData[[#This Row],[Revenue Variance]]/tbl_FinancialData[[#This Row],[Budget Revenue]]</f>
        <v>6.4516129032258063E-2</v>
      </c>
    </row>
    <row r="43" spans="1:16">
      <c r="A43" s="8">
        <v>46237</v>
      </c>
      <c r="B43" s="7" t="s">
        <v>28</v>
      </c>
      <c r="C43" s="7" t="s">
        <v>11</v>
      </c>
      <c r="D43" s="7" t="s">
        <v>12</v>
      </c>
      <c r="E43" s="7" t="s">
        <v>13</v>
      </c>
      <c r="F43" s="7">
        <v>18</v>
      </c>
      <c r="G43" s="7">
        <v>1080000</v>
      </c>
      <c r="H43" s="7">
        <v>810000</v>
      </c>
      <c r="I43" s="7">
        <v>110000</v>
      </c>
      <c r="J43" s="7">
        <v>1020000</v>
      </c>
      <c r="K43" s="7">
        <v>105000</v>
      </c>
      <c r="L43" s="7">
        <f>tbl_FinancialData[[#This Row],[Revenue]]-tbl_FinancialData[[#This Row],[COGS]]</f>
        <v>270000</v>
      </c>
      <c r="M43" s="13">
        <f>tbl_FinancialData[[#This Row],[Gross Profit]]/tbl_FinancialData[[#This Row],[Revenue]]</f>
        <v>0.25</v>
      </c>
      <c r="N43" s="7">
        <f>tbl_FinancialData[[#This Row],[Gross Profit]]-tbl_FinancialData[[#This Row],[Operating Expense]]</f>
        <v>160000</v>
      </c>
      <c r="O43" s="7">
        <f>tbl_FinancialData[[#This Row],[Revenue]]-tbl_FinancialData[[#This Row],[Budget Revenue]]</f>
        <v>60000</v>
      </c>
      <c r="P43" s="17">
        <f>tbl_FinancialData[[#This Row],[Revenue Variance]]/tbl_FinancialData[[#This Row],[Budget Revenue]]</f>
        <v>5.8823529411764705E-2</v>
      </c>
    </row>
    <row r="44" spans="1:16">
      <c r="A44" s="8">
        <v>46242</v>
      </c>
      <c r="B44" s="7" t="s">
        <v>28</v>
      </c>
      <c r="C44" s="7" t="s">
        <v>14</v>
      </c>
      <c r="D44" s="7" t="s">
        <v>17</v>
      </c>
      <c r="E44" s="7" t="s">
        <v>18</v>
      </c>
      <c r="F44" s="7">
        <v>32</v>
      </c>
      <c r="G44" s="7">
        <v>160000</v>
      </c>
      <c r="H44" s="7">
        <v>96000</v>
      </c>
      <c r="I44" s="7">
        <v>19000</v>
      </c>
      <c r="J44" s="7">
        <v>150000</v>
      </c>
      <c r="K44" s="7">
        <v>18000</v>
      </c>
      <c r="L44" s="7">
        <f>tbl_FinancialData[[#This Row],[Revenue]]-tbl_FinancialData[[#This Row],[COGS]]</f>
        <v>64000</v>
      </c>
      <c r="M44" s="13">
        <f>tbl_FinancialData[[#This Row],[Gross Profit]]/tbl_FinancialData[[#This Row],[Revenue]]</f>
        <v>0.4</v>
      </c>
      <c r="N44" s="7">
        <f>tbl_FinancialData[[#This Row],[Gross Profit]]-tbl_FinancialData[[#This Row],[Operating Expense]]</f>
        <v>45000</v>
      </c>
      <c r="O44" s="7">
        <f>tbl_FinancialData[[#This Row],[Revenue]]-tbl_FinancialData[[#This Row],[Budget Revenue]]</f>
        <v>10000</v>
      </c>
      <c r="P44" s="17">
        <f>tbl_FinancialData[[#This Row],[Revenue Variance]]/tbl_FinancialData[[#This Row],[Budget Revenue]]</f>
        <v>6.6666666666666666E-2</v>
      </c>
    </row>
    <row r="45" spans="1:16">
      <c r="A45" s="8">
        <v>46248</v>
      </c>
      <c r="B45" s="7" t="s">
        <v>28</v>
      </c>
      <c r="C45" s="7" t="s">
        <v>16</v>
      </c>
      <c r="D45" s="7" t="s">
        <v>19</v>
      </c>
      <c r="E45" s="7" t="s">
        <v>13</v>
      </c>
      <c r="F45" s="7">
        <v>28</v>
      </c>
      <c r="G45" s="7">
        <v>336000</v>
      </c>
      <c r="H45" s="7">
        <v>218400</v>
      </c>
      <c r="I45" s="7">
        <v>34000</v>
      </c>
      <c r="J45" s="7">
        <v>320000</v>
      </c>
      <c r="K45" s="7">
        <v>32000</v>
      </c>
      <c r="L45" s="7">
        <f>tbl_FinancialData[[#This Row],[Revenue]]-tbl_FinancialData[[#This Row],[COGS]]</f>
        <v>117600</v>
      </c>
      <c r="M45" s="13">
        <f>tbl_FinancialData[[#This Row],[Gross Profit]]/tbl_FinancialData[[#This Row],[Revenue]]</f>
        <v>0.35</v>
      </c>
      <c r="N45" s="7">
        <f>tbl_FinancialData[[#This Row],[Gross Profit]]-tbl_FinancialData[[#This Row],[Operating Expense]]</f>
        <v>83600</v>
      </c>
      <c r="O45" s="7">
        <f>tbl_FinancialData[[#This Row],[Revenue]]-tbl_FinancialData[[#This Row],[Budget Revenue]]</f>
        <v>16000</v>
      </c>
      <c r="P45" s="17">
        <f>tbl_FinancialData[[#This Row],[Revenue Variance]]/tbl_FinancialData[[#This Row],[Budget Revenue]]</f>
        <v>0.05</v>
      </c>
    </row>
    <row r="46" spans="1:16">
      <c r="A46" s="8">
        <v>46253</v>
      </c>
      <c r="B46" s="7" t="s">
        <v>28</v>
      </c>
      <c r="C46" s="7" t="s">
        <v>11</v>
      </c>
      <c r="D46" s="7" t="s">
        <v>20</v>
      </c>
      <c r="E46" s="7" t="s">
        <v>18</v>
      </c>
      <c r="F46" s="7">
        <v>24</v>
      </c>
      <c r="G46" s="7">
        <v>240000</v>
      </c>
      <c r="H46" s="7">
        <v>144000</v>
      </c>
      <c r="I46" s="7">
        <v>27000</v>
      </c>
      <c r="J46" s="7">
        <v>225000</v>
      </c>
      <c r="K46" s="7">
        <v>25000</v>
      </c>
      <c r="L46" s="7">
        <f>tbl_FinancialData[[#This Row],[Revenue]]-tbl_FinancialData[[#This Row],[COGS]]</f>
        <v>96000</v>
      </c>
      <c r="M46" s="13">
        <f>tbl_FinancialData[[#This Row],[Gross Profit]]/tbl_FinancialData[[#This Row],[Revenue]]</f>
        <v>0.4</v>
      </c>
      <c r="N46" s="7">
        <f>tbl_FinancialData[[#This Row],[Gross Profit]]-tbl_FinancialData[[#This Row],[Operating Expense]]</f>
        <v>69000</v>
      </c>
      <c r="O46" s="7">
        <f>tbl_FinancialData[[#This Row],[Revenue]]-tbl_FinancialData[[#This Row],[Budget Revenue]]</f>
        <v>15000</v>
      </c>
      <c r="P46" s="17">
        <f>tbl_FinancialData[[#This Row],[Revenue Variance]]/tbl_FinancialData[[#This Row],[Budget Revenue]]</f>
        <v>6.6666666666666666E-2</v>
      </c>
    </row>
    <row r="47" spans="1:16">
      <c r="A47" s="8">
        <v>46259</v>
      </c>
      <c r="B47" s="7" t="s">
        <v>28</v>
      </c>
      <c r="C47" s="7" t="s">
        <v>14</v>
      </c>
      <c r="D47" s="7" t="s">
        <v>21</v>
      </c>
      <c r="E47" s="7" t="s">
        <v>13</v>
      </c>
      <c r="F47" s="7">
        <v>48</v>
      </c>
      <c r="G47" s="7">
        <v>144000</v>
      </c>
      <c r="H47" s="7">
        <v>72000</v>
      </c>
      <c r="I47" s="7">
        <v>16000</v>
      </c>
      <c r="J47" s="7">
        <v>138000</v>
      </c>
      <c r="K47" s="7">
        <v>15000</v>
      </c>
      <c r="L47" s="7">
        <f>tbl_FinancialData[[#This Row],[Revenue]]-tbl_FinancialData[[#This Row],[COGS]]</f>
        <v>72000</v>
      </c>
      <c r="M47" s="13">
        <f>tbl_FinancialData[[#This Row],[Gross Profit]]/tbl_FinancialData[[#This Row],[Revenue]]</f>
        <v>0.5</v>
      </c>
      <c r="N47" s="7">
        <f>tbl_FinancialData[[#This Row],[Gross Profit]]-tbl_FinancialData[[#This Row],[Operating Expense]]</f>
        <v>56000</v>
      </c>
      <c r="O47" s="7">
        <f>tbl_FinancialData[[#This Row],[Revenue]]-tbl_FinancialData[[#This Row],[Budget Revenue]]</f>
        <v>6000</v>
      </c>
      <c r="P47" s="17">
        <f>tbl_FinancialData[[#This Row],[Revenue Variance]]/tbl_FinancialData[[#This Row],[Budget Revenue]]</f>
        <v>4.3478260869565216E-2</v>
      </c>
    </row>
    <row r="48" spans="1:16">
      <c r="A48" s="8">
        <v>46264</v>
      </c>
      <c r="B48" s="7" t="s">
        <v>28</v>
      </c>
      <c r="C48" s="7" t="s">
        <v>16</v>
      </c>
      <c r="D48" s="7" t="s">
        <v>15</v>
      </c>
      <c r="E48" s="7" t="s">
        <v>13</v>
      </c>
      <c r="F48" s="7">
        <v>60</v>
      </c>
      <c r="G48" s="7">
        <v>180000</v>
      </c>
      <c r="H48" s="7">
        <v>108000</v>
      </c>
      <c r="I48" s="7">
        <v>28000</v>
      </c>
      <c r="J48" s="7">
        <v>170000</v>
      </c>
      <c r="K48" s="7">
        <v>26000</v>
      </c>
      <c r="L48" s="7">
        <f>tbl_FinancialData[[#This Row],[Revenue]]-tbl_FinancialData[[#This Row],[COGS]]</f>
        <v>72000</v>
      </c>
      <c r="M48" s="13">
        <f>tbl_FinancialData[[#This Row],[Gross Profit]]/tbl_FinancialData[[#This Row],[Revenue]]</f>
        <v>0.4</v>
      </c>
      <c r="N48" s="7">
        <f>tbl_FinancialData[[#This Row],[Gross Profit]]-tbl_FinancialData[[#This Row],[Operating Expense]]</f>
        <v>44000</v>
      </c>
      <c r="O48" s="7">
        <f>tbl_FinancialData[[#This Row],[Revenue]]-tbl_FinancialData[[#This Row],[Budget Revenue]]</f>
        <v>10000</v>
      </c>
      <c r="P48" s="17">
        <f>tbl_FinancialData[[#This Row],[Revenue Variance]]/tbl_FinancialData[[#This Row],[Budget Revenue]]</f>
        <v>5.8823529411764705E-2</v>
      </c>
    </row>
    <row r="49" spans="1:16">
      <c r="A49" s="8">
        <v>46268</v>
      </c>
      <c r="B49" s="7" t="s">
        <v>29</v>
      </c>
      <c r="C49" s="7" t="s">
        <v>11</v>
      </c>
      <c r="D49" s="7" t="s">
        <v>12</v>
      </c>
      <c r="E49" s="7" t="s">
        <v>13</v>
      </c>
      <c r="F49" s="7">
        <v>17</v>
      </c>
      <c r="G49" s="7">
        <v>1020000</v>
      </c>
      <c r="H49" s="7">
        <v>765000</v>
      </c>
      <c r="I49" s="7">
        <v>105000</v>
      </c>
      <c r="J49" s="7">
        <v>980000</v>
      </c>
      <c r="K49" s="7">
        <v>100000</v>
      </c>
      <c r="L49" s="7">
        <f>tbl_FinancialData[[#This Row],[Revenue]]-tbl_FinancialData[[#This Row],[COGS]]</f>
        <v>255000</v>
      </c>
      <c r="M49" s="13">
        <f>tbl_FinancialData[[#This Row],[Gross Profit]]/tbl_FinancialData[[#This Row],[Revenue]]</f>
        <v>0.25</v>
      </c>
      <c r="N49" s="7">
        <f>tbl_FinancialData[[#This Row],[Gross Profit]]-tbl_FinancialData[[#This Row],[Operating Expense]]</f>
        <v>150000</v>
      </c>
      <c r="O49" s="7">
        <f>tbl_FinancialData[[#This Row],[Revenue]]-tbl_FinancialData[[#This Row],[Budget Revenue]]</f>
        <v>40000</v>
      </c>
      <c r="P49" s="17">
        <f>tbl_FinancialData[[#This Row],[Revenue Variance]]/tbl_FinancialData[[#This Row],[Budget Revenue]]</f>
        <v>4.0816326530612242E-2</v>
      </c>
    </row>
    <row r="50" spans="1:16">
      <c r="A50" s="8">
        <v>46273</v>
      </c>
      <c r="B50" s="7" t="s">
        <v>29</v>
      </c>
      <c r="C50" s="7" t="s">
        <v>14</v>
      </c>
      <c r="D50" s="7" t="s">
        <v>17</v>
      </c>
      <c r="E50" s="7" t="s">
        <v>18</v>
      </c>
      <c r="F50" s="7">
        <v>29</v>
      </c>
      <c r="G50" s="7">
        <v>145000</v>
      </c>
      <c r="H50" s="7">
        <v>87000</v>
      </c>
      <c r="I50" s="7">
        <v>18000</v>
      </c>
      <c r="J50" s="7">
        <v>138000</v>
      </c>
      <c r="K50" s="7">
        <v>17000</v>
      </c>
      <c r="L50" s="7">
        <f>tbl_FinancialData[[#This Row],[Revenue]]-tbl_FinancialData[[#This Row],[COGS]]</f>
        <v>58000</v>
      </c>
      <c r="M50" s="13">
        <f>tbl_FinancialData[[#This Row],[Gross Profit]]/tbl_FinancialData[[#This Row],[Revenue]]</f>
        <v>0.4</v>
      </c>
      <c r="N50" s="7">
        <f>tbl_FinancialData[[#This Row],[Gross Profit]]-tbl_FinancialData[[#This Row],[Operating Expense]]</f>
        <v>40000</v>
      </c>
      <c r="O50" s="7">
        <f>tbl_FinancialData[[#This Row],[Revenue]]-tbl_FinancialData[[#This Row],[Budget Revenue]]</f>
        <v>7000</v>
      </c>
      <c r="P50" s="17">
        <f>tbl_FinancialData[[#This Row],[Revenue Variance]]/tbl_FinancialData[[#This Row],[Budget Revenue]]</f>
        <v>5.0724637681159424E-2</v>
      </c>
    </row>
    <row r="51" spans="1:16">
      <c r="A51" s="8">
        <v>46279</v>
      </c>
      <c r="B51" s="7" t="s">
        <v>29</v>
      </c>
      <c r="C51" s="7" t="s">
        <v>16</v>
      </c>
      <c r="D51" s="7" t="s">
        <v>19</v>
      </c>
      <c r="E51" s="7" t="s">
        <v>13</v>
      </c>
      <c r="F51" s="7">
        <v>25</v>
      </c>
      <c r="G51" s="7">
        <v>300000</v>
      </c>
      <c r="H51" s="7">
        <v>195000</v>
      </c>
      <c r="I51" s="7">
        <v>31000</v>
      </c>
      <c r="J51" s="7">
        <v>285000</v>
      </c>
      <c r="K51" s="7">
        <v>30000</v>
      </c>
      <c r="L51" s="7">
        <f>tbl_FinancialData[[#This Row],[Revenue]]-tbl_FinancialData[[#This Row],[COGS]]</f>
        <v>105000</v>
      </c>
      <c r="M51" s="13">
        <f>tbl_FinancialData[[#This Row],[Gross Profit]]/tbl_FinancialData[[#This Row],[Revenue]]</f>
        <v>0.35</v>
      </c>
      <c r="N51" s="7">
        <f>tbl_FinancialData[[#This Row],[Gross Profit]]-tbl_FinancialData[[#This Row],[Operating Expense]]</f>
        <v>74000</v>
      </c>
      <c r="O51" s="7">
        <f>tbl_FinancialData[[#This Row],[Revenue]]-tbl_FinancialData[[#This Row],[Budget Revenue]]</f>
        <v>15000</v>
      </c>
      <c r="P51" s="17">
        <f>tbl_FinancialData[[#This Row],[Revenue Variance]]/tbl_FinancialData[[#This Row],[Budget Revenue]]</f>
        <v>5.2631578947368418E-2</v>
      </c>
    </row>
    <row r="52" spans="1:16">
      <c r="A52" s="8">
        <v>46284</v>
      </c>
      <c r="B52" s="7" t="s">
        <v>29</v>
      </c>
      <c r="C52" s="7" t="s">
        <v>11</v>
      </c>
      <c r="D52" s="7" t="s">
        <v>20</v>
      </c>
      <c r="E52" s="7" t="s">
        <v>18</v>
      </c>
      <c r="F52" s="7">
        <v>21</v>
      </c>
      <c r="G52" s="7">
        <v>210000</v>
      </c>
      <c r="H52" s="7">
        <v>126000</v>
      </c>
      <c r="I52" s="7">
        <v>24000</v>
      </c>
      <c r="J52" s="7">
        <v>200000</v>
      </c>
      <c r="K52" s="7">
        <v>22000</v>
      </c>
      <c r="L52" s="7">
        <f>tbl_FinancialData[[#This Row],[Revenue]]-tbl_FinancialData[[#This Row],[COGS]]</f>
        <v>84000</v>
      </c>
      <c r="M52" s="13">
        <f>tbl_FinancialData[[#This Row],[Gross Profit]]/tbl_FinancialData[[#This Row],[Revenue]]</f>
        <v>0.4</v>
      </c>
      <c r="N52" s="7">
        <f>tbl_FinancialData[[#This Row],[Gross Profit]]-tbl_FinancialData[[#This Row],[Operating Expense]]</f>
        <v>60000</v>
      </c>
      <c r="O52" s="7">
        <f>tbl_FinancialData[[#This Row],[Revenue]]-tbl_FinancialData[[#This Row],[Budget Revenue]]</f>
        <v>10000</v>
      </c>
      <c r="P52" s="17">
        <f>tbl_FinancialData[[#This Row],[Revenue Variance]]/tbl_FinancialData[[#This Row],[Budget Revenue]]</f>
        <v>0.05</v>
      </c>
    </row>
    <row r="53" spans="1:16">
      <c r="A53" s="8">
        <v>46289</v>
      </c>
      <c r="B53" s="7" t="s">
        <v>29</v>
      </c>
      <c r="C53" s="7" t="s">
        <v>14</v>
      </c>
      <c r="D53" s="7" t="s">
        <v>21</v>
      </c>
      <c r="E53" s="7" t="s">
        <v>13</v>
      </c>
      <c r="F53" s="7">
        <v>46</v>
      </c>
      <c r="G53" s="7">
        <v>138000</v>
      </c>
      <c r="H53" s="7">
        <v>69000</v>
      </c>
      <c r="I53" s="7">
        <v>15000</v>
      </c>
      <c r="J53" s="7">
        <v>130000</v>
      </c>
      <c r="K53" s="7">
        <v>14000</v>
      </c>
      <c r="L53" s="7">
        <f>tbl_FinancialData[[#This Row],[Revenue]]-tbl_FinancialData[[#This Row],[COGS]]</f>
        <v>69000</v>
      </c>
      <c r="M53" s="13">
        <f>tbl_FinancialData[[#This Row],[Gross Profit]]/tbl_FinancialData[[#This Row],[Revenue]]</f>
        <v>0.5</v>
      </c>
      <c r="N53" s="7">
        <f>tbl_FinancialData[[#This Row],[Gross Profit]]-tbl_FinancialData[[#This Row],[Operating Expense]]</f>
        <v>54000</v>
      </c>
      <c r="O53" s="7">
        <f>tbl_FinancialData[[#This Row],[Revenue]]-tbl_FinancialData[[#This Row],[Budget Revenue]]</f>
        <v>8000</v>
      </c>
      <c r="P53" s="17">
        <f>tbl_FinancialData[[#This Row],[Revenue Variance]]/tbl_FinancialData[[#This Row],[Budget Revenue]]</f>
        <v>6.1538461538461542E-2</v>
      </c>
    </row>
    <row r="54" spans="1:16">
      <c r="A54" s="8">
        <v>46294</v>
      </c>
      <c r="B54" s="7" t="s">
        <v>29</v>
      </c>
      <c r="C54" s="7" t="s">
        <v>16</v>
      </c>
      <c r="D54" s="7" t="s">
        <v>15</v>
      </c>
      <c r="E54" s="7" t="s">
        <v>13</v>
      </c>
      <c r="F54" s="7">
        <v>52</v>
      </c>
      <c r="G54" s="7">
        <v>156000</v>
      </c>
      <c r="H54" s="7">
        <v>93600</v>
      </c>
      <c r="I54" s="7">
        <v>25000</v>
      </c>
      <c r="J54" s="7">
        <v>150000</v>
      </c>
      <c r="K54" s="7">
        <v>23000</v>
      </c>
      <c r="L54" s="7">
        <f>tbl_FinancialData[[#This Row],[Revenue]]-tbl_FinancialData[[#This Row],[COGS]]</f>
        <v>62400</v>
      </c>
      <c r="M54" s="13">
        <f>tbl_FinancialData[[#This Row],[Gross Profit]]/tbl_FinancialData[[#This Row],[Revenue]]</f>
        <v>0.4</v>
      </c>
      <c r="N54" s="7">
        <f>tbl_FinancialData[[#This Row],[Gross Profit]]-tbl_FinancialData[[#This Row],[Operating Expense]]</f>
        <v>37400</v>
      </c>
      <c r="O54" s="7">
        <f>tbl_FinancialData[[#This Row],[Revenue]]-tbl_FinancialData[[#This Row],[Budget Revenue]]</f>
        <v>6000</v>
      </c>
      <c r="P54" s="17">
        <f>tbl_FinancialData[[#This Row],[Revenue Variance]]/tbl_FinancialData[[#This Row],[Budget Revenue]]</f>
        <v>0.04</v>
      </c>
    </row>
    <row r="55" spans="1:16">
      <c r="A55" s="8">
        <v>46298</v>
      </c>
      <c r="B55" s="7" t="s">
        <v>30</v>
      </c>
      <c r="C55" s="7" t="s">
        <v>11</v>
      </c>
      <c r="D55" s="7" t="s">
        <v>12</v>
      </c>
      <c r="E55" s="7" t="s">
        <v>13</v>
      </c>
      <c r="F55" s="7">
        <v>19</v>
      </c>
      <c r="G55" s="7">
        <v>1140000</v>
      </c>
      <c r="H55" s="7">
        <v>855000</v>
      </c>
      <c r="I55" s="7">
        <v>115000</v>
      </c>
      <c r="J55" s="7">
        <v>1080000</v>
      </c>
      <c r="K55" s="7">
        <v>110000</v>
      </c>
      <c r="L55" s="7">
        <f>tbl_FinancialData[[#This Row],[Revenue]]-tbl_FinancialData[[#This Row],[COGS]]</f>
        <v>285000</v>
      </c>
      <c r="M55" s="13">
        <f>tbl_FinancialData[[#This Row],[Gross Profit]]/tbl_FinancialData[[#This Row],[Revenue]]</f>
        <v>0.25</v>
      </c>
      <c r="N55" s="7">
        <f>tbl_FinancialData[[#This Row],[Gross Profit]]-tbl_FinancialData[[#This Row],[Operating Expense]]</f>
        <v>170000</v>
      </c>
      <c r="O55" s="7">
        <f>tbl_FinancialData[[#This Row],[Revenue]]-tbl_FinancialData[[#This Row],[Budget Revenue]]</f>
        <v>60000</v>
      </c>
      <c r="P55" s="17">
        <f>tbl_FinancialData[[#This Row],[Revenue Variance]]/tbl_FinancialData[[#This Row],[Budget Revenue]]</f>
        <v>5.5555555555555552E-2</v>
      </c>
    </row>
    <row r="56" spans="1:16">
      <c r="A56" s="8">
        <v>46303</v>
      </c>
      <c r="B56" s="7" t="s">
        <v>30</v>
      </c>
      <c r="C56" s="7" t="s">
        <v>14</v>
      </c>
      <c r="D56" s="7" t="s">
        <v>17</v>
      </c>
      <c r="E56" s="7" t="s">
        <v>18</v>
      </c>
      <c r="F56" s="7">
        <v>34</v>
      </c>
      <c r="G56" s="7">
        <v>170000</v>
      </c>
      <c r="H56" s="7">
        <v>102000</v>
      </c>
      <c r="I56" s="7">
        <v>20000</v>
      </c>
      <c r="J56" s="7">
        <v>160000</v>
      </c>
      <c r="K56" s="7">
        <v>19000</v>
      </c>
      <c r="L56" s="7">
        <f>tbl_FinancialData[[#This Row],[Revenue]]-tbl_FinancialData[[#This Row],[COGS]]</f>
        <v>68000</v>
      </c>
      <c r="M56" s="13">
        <f>tbl_FinancialData[[#This Row],[Gross Profit]]/tbl_FinancialData[[#This Row],[Revenue]]</f>
        <v>0.4</v>
      </c>
      <c r="N56" s="7">
        <f>tbl_FinancialData[[#This Row],[Gross Profit]]-tbl_FinancialData[[#This Row],[Operating Expense]]</f>
        <v>48000</v>
      </c>
      <c r="O56" s="7">
        <f>tbl_FinancialData[[#This Row],[Revenue]]-tbl_FinancialData[[#This Row],[Budget Revenue]]</f>
        <v>10000</v>
      </c>
      <c r="P56" s="17">
        <f>tbl_FinancialData[[#This Row],[Revenue Variance]]/tbl_FinancialData[[#This Row],[Budget Revenue]]</f>
        <v>6.25E-2</v>
      </c>
    </row>
    <row r="57" spans="1:16">
      <c r="A57" s="8">
        <v>46309</v>
      </c>
      <c r="B57" s="7" t="s">
        <v>30</v>
      </c>
      <c r="C57" s="7" t="s">
        <v>16</v>
      </c>
      <c r="D57" s="7" t="s">
        <v>19</v>
      </c>
      <c r="E57" s="7" t="s">
        <v>13</v>
      </c>
      <c r="F57" s="7">
        <v>30</v>
      </c>
      <c r="G57" s="7">
        <v>360000</v>
      </c>
      <c r="H57" s="7">
        <v>234000</v>
      </c>
      <c r="I57" s="7">
        <v>35000</v>
      </c>
      <c r="J57" s="7">
        <v>340000</v>
      </c>
      <c r="K57" s="7">
        <v>33000</v>
      </c>
      <c r="L57" s="7">
        <f>tbl_FinancialData[[#This Row],[Revenue]]-tbl_FinancialData[[#This Row],[COGS]]</f>
        <v>126000</v>
      </c>
      <c r="M57" s="13">
        <f>tbl_FinancialData[[#This Row],[Gross Profit]]/tbl_FinancialData[[#This Row],[Revenue]]</f>
        <v>0.35</v>
      </c>
      <c r="N57" s="7">
        <f>tbl_FinancialData[[#This Row],[Gross Profit]]-tbl_FinancialData[[#This Row],[Operating Expense]]</f>
        <v>91000</v>
      </c>
      <c r="O57" s="7">
        <f>tbl_FinancialData[[#This Row],[Revenue]]-tbl_FinancialData[[#This Row],[Budget Revenue]]</f>
        <v>20000</v>
      </c>
      <c r="P57" s="17">
        <f>tbl_FinancialData[[#This Row],[Revenue Variance]]/tbl_FinancialData[[#This Row],[Budget Revenue]]</f>
        <v>5.8823529411764705E-2</v>
      </c>
    </row>
    <row r="58" spans="1:16">
      <c r="A58" s="8">
        <v>46314</v>
      </c>
      <c r="B58" s="7" t="s">
        <v>30</v>
      </c>
      <c r="C58" s="7" t="s">
        <v>11</v>
      </c>
      <c r="D58" s="7" t="s">
        <v>20</v>
      </c>
      <c r="E58" s="7" t="s">
        <v>18</v>
      </c>
      <c r="F58" s="7">
        <v>26</v>
      </c>
      <c r="G58" s="7">
        <v>260000</v>
      </c>
      <c r="H58" s="7">
        <v>156000</v>
      </c>
      <c r="I58" s="7">
        <v>28000</v>
      </c>
      <c r="J58" s="7">
        <v>245000</v>
      </c>
      <c r="K58" s="7">
        <v>26000</v>
      </c>
      <c r="L58" s="7">
        <f>tbl_FinancialData[[#This Row],[Revenue]]-tbl_FinancialData[[#This Row],[COGS]]</f>
        <v>104000</v>
      </c>
      <c r="M58" s="13">
        <f>tbl_FinancialData[[#This Row],[Gross Profit]]/tbl_FinancialData[[#This Row],[Revenue]]</f>
        <v>0.4</v>
      </c>
      <c r="N58" s="7">
        <f>tbl_FinancialData[[#This Row],[Gross Profit]]-tbl_FinancialData[[#This Row],[Operating Expense]]</f>
        <v>76000</v>
      </c>
      <c r="O58" s="7">
        <f>tbl_FinancialData[[#This Row],[Revenue]]-tbl_FinancialData[[#This Row],[Budget Revenue]]</f>
        <v>15000</v>
      </c>
      <c r="P58" s="17">
        <f>tbl_FinancialData[[#This Row],[Revenue Variance]]/tbl_FinancialData[[#This Row],[Budget Revenue]]</f>
        <v>6.1224489795918366E-2</v>
      </c>
    </row>
    <row r="59" spans="1:16">
      <c r="A59" s="8">
        <v>46319</v>
      </c>
      <c r="B59" s="7" t="s">
        <v>30</v>
      </c>
      <c r="C59" s="7" t="s">
        <v>14</v>
      </c>
      <c r="D59" s="7" t="s">
        <v>21</v>
      </c>
      <c r="E59" s="7" t="s">
        <v>13</v>
      </c>
      <c r="F59" s="7">
        <v>50</v>
      </c>
      <c r="G59" s="7">
        <v>150000</v>
      </c>
      <c r="H59" s="7">
        <v>75000</v>
      </c>
      <c r="I59" s="7">
        <v>17000</v>
      </c>
      <c r="J59" s="7">
        <v>142000</v>
      </c>
      <c r="K59" s="7">
        <v>16000</v>
      </c>
      <c r="L59" s="7">
        <f>tbl_FinancialData[[#This Row],[Revenue]]-tbl_FinancialData[[#This Row],[COGS]]</f>
        <v>75000</v>
      </c>
      <c r="M59" s="13">
        <f>tbl_FinancialData[[#This Row],[Gross Profit]]/tbl_FinancialData[[#This Row],[Revenue]]</f>
        <v>0.5</v>
      </c>
      <c r="N59" s="7">
        <f>tbl_FinancialData[[#This Row],[Gross Profit]]-tbl_FinancialData[[#This Row],[Operating Expense]]</f>
        <v>58000</v>
      </c>
      <c r="O59" s="7">
        <f>tbl_FinancialData[[#This Row],[Revenue]]-tbl_FinancialData[[#This Row],[Budget Revenue]]</f>
        <v>8000</v>
      </c>
      <c r="P59" s="17">
        <f>tbl_FinancialData[[#This Row],[Revenue Variance]]/tbl_FinancialData[[#This Row],[Budget Revenue]]</f>
        <v>5.6338028169014086E-2</v>
      </c>
    </row>
    <row r="60" spans="1:16">
      <c r="A60" s="8">
        <v>46324</v>
      </c>
      <c r="B60" s="7" t="s">
        <v>30</v>
      </c>
      <c r="C60" s="7" t="s">
        <v>16</v>
      </c>
      <c r="D60" s="7" t="s">
        <v>15</v>
      </c>
      <c r="E60" s="7" t="s">
        <v>13</v>
      </c>
      <c r="F60" s="7">
        <v>62</v>
      </c>
      <c r="G60" s="7">
        <v>186000</v>
      </c>
      <c r="H60" s="7">
        <v>111600</v>
      </c>
      <c r="I60" s="7">
        <v>30000</v>
      </c>
      <c r="J60" s="7">
        <v>175000</v>
      </c>
      <c r="K60" s="7">
        <v>28000</v>
      </c>
      <c r="L60" s="7">
        <f>tbl_FinancialData[[#This Row],[Revenue]]-tbl_FinancialData[[#This Row],[COGS]]</f>
        <v>74400</v>
      </c>
      <c r="M60" s="13">
        <f>tbl_FinancialData[[#This Row],[Gross Profit]]/tbl_FinancialData[[#This Row],[Revenue]]</f>
        <v>0.4</v>
      </c>
      <c r="N60" s="7">
        <f>tbl_FinancialData[[#This Row],[Gross Profit]]-tbl_FinancialData[[#This Row],[Operating Expense]]</f>
        <v>44400</v>
      </c>
      <c r="O60" s="7">
        <f>tbl_FinancialData[[#This Row],[Revenue]]-tbl_FinancialData[[#This Row],[Budget Revenue]]</f>
        <v>11000</v>
      </c>
      <c r="P60" s="17">
        <f>tbl_FinancialData[[#This Row],[Revenue Variance]]/tbl_FinancialData[[#This Row],[Budget Revenue]]</f>
        <v>6.2857142857142861E-2</v>
      </c>
    </row>
    <row r="61" spans="1:16">
      <c r="A61" s="8">
        <v>46329</v>
      </c>
      <c r="B61" s="7" t="s">
        <v>31</v>
      </c>
      <c r="C61" s="7" t="s">
        <v>11</v>
      </c>
      <c r="D61" s="7" t="s">
        <v>12</v>
      </c>
      <c r="E61" s="7" t="s">
        <v>13</v>
      </c>
      <c r="F61" s="7">
        <v>20</v>
      </c>
      <c r="G61" s="7">
        <v>1200000</v>
      </c>
      <c r="H61" s="7">
        <v>900000</v>
      </c>
      <c r="I61" s="7">
        <v>120000</v>
      </c>
      <c r="J61" s="7">
        <v>1150000</v>
      </c>
      <c r="K61" s="7">
        <v>115000</v>
      </c>
      <c r="L61" s="7">
        <f>tbl_FinancialData[[#This Row],[Revenue]]-tbl_FinancialData[[#This Row],[COGS]]</f>
        <v>300000</v>
      </c>
      <c r="M61" s="13">
        <f>tbl_FinancialData[[#This Row],[Gross Profit]]/tbl_FinancialData[[#This Row],[Revenue]]</f>
        <v>0.25</v>
      </c>
      <c r="N61" s="7">
        <f>tbl_FinancialData[[#This Row],[Gross Profit]]-tbl_FinancialData[[#This Row],[Operating Expense]]</f>
        <v>180000</v>
      </c>
      <c r="O61" s="7">
        <f>tbl_FinancialData[[#This Row],[Revenue]]-tbl_FinancialData[[#This Row],[Budget Revenue]]</f>
        <v>50000</v>
      </c>
      <c r="P61" s="17">
        <f>tbl_FinancialData[[#This Row],[Revenue Variance]]/tbl_FinancialData[[#This Row],[Budget Revenue]]</f>
        <v>4.3478260869565216E-2</v>
      </c>
    </row>
    <row r="62" spans="1:16">
      <c r="A62" s="8">
        <v>46334</v>
      </c>
      <c r="B62" s="7" t="s">
        <v>31</v>
      </c>
      <c r="C62" s="7" t="s">
        <v>14</v>
      </c>
      <c r="D62" s="7" t="s">
        <v>17</v>
      </c>
      <c r="E62" s="7" t="s">
        <v>18</v>
      </c>
      <c r="F62" s="7">
        <v>36</v>
      </c>
      <c r="G62" s="7">
        <v>180000</v>
      </c>
      <c r="H62" s="7">
        <v>108000</v>
      </c>
      <c r="I62" s="7">
        <v>21000</v>
      </c>
      <c r="J62" s="7">
        <v>170000</v>
      </c>
      <c r="K62" s="7">
        <v>20000</v>
      </c>
      <c r="L62" s="7">
        <f>tbl_FinancialData[[#This Row],[Revenue]]-tbl_FinancialData[[#This Row],[COGS]]</f>
        <v>72000</v>
      </c>
      <c r="M62" s="13">
        <f>tbl_FinancialData[[#This Row],[Gross Profit]]/tbl_FinancialData[[#This Row],[Revenue]]</f>
        <v>0.4</v>
      </c>
      <c r="N62" s="7">
        <f>tbl_FinancialData[[#This Row],[Gross Profit]]-tbl_FinancialData[[#This Row],[Operating Expense]]</f>
        <v>51000</v>
      </c>
      <c r="O62" s="7">
        <f>tbl_FinancialData[[#This Row],[Revenue]]-tbl_FinancialData[[#This Row],[Budget Revenue]]</f>
        <v>10000</v>
      </c>
      <c r="P62" s="17">
        <f>tbl_FinancialData[[#This Row],[Revenue Variance]]/tbl_FinancialData[[#This Row],[Budget Revenue]]</f>
        <v>5.8823529411764705E-2</v>
      </c>
    </row>
    <row r="63" spans="1:16">
      <c r="A63" s="8">
        <v>46340</v>
      </c>
      <c r="B63" s="7" t="s">
        <v>31</v>
      </c>
      <c r="C63" s="7" t="s">
        <v>16</v>
      </c>
      <c r="D63" s="7" t="s">
        <v>19</v>
      </c>
      <c r="E63" s="7" t="s">
        <v>13</v>
      </c>
      <c r="F63" s="7">
        <v>32</v>
      </c>
      <c r="G63" s="7">
        <v>384000</v>
      </c>
      <c r="H63" s="7">
        <v>249600</v>
      </c>
      <c r="I63" s="7">
        <v>37000</v>
      </c>
      <c r="J63" s="7">
        <v>365000</v>
      </c>
      <c r="K63" s="7">
        <v>35000</v>
      </c>
      <c r="L63" s="7">
        <f>tbl_FinancialData[[#This Row],[Revenue]]-tbl_FinancialData[[#This Row],[COGS]]</f>
        <v>134400</v>
      </c>
      <c r="M63" s="13">
        <f>tbl_FinancialData[[#This Row],[Gross Profit]]/tbl_FinancialData[[#This Row],[Revenue]]</f>
        <v>0.35</v>
      </c>
      <c r="N63" s="7">
        <f>tbl_FinancialData[[#This Row],[Gross Profit]]-tbl_FinancialData[[#This Row],[Operating Expense]]</f>
        <v>97400</v>
      </c>
      <c r="O63" s="7">
        <f>tbl_FinancialData[[#This Row],[Revenue]]-tbl_FinancialData[[#This Row],[Budget Revenue]]</f>
        <v>19000</v>
      </c>
      <c r="P63" s="17">
        <f>tbl_FinancialData[[#This Row],[Revenue Variance]]/tbl_FinancialData[[#This Row],[Budget Revenue]]</f>
        <v>5.2054794520547946E-2</v>
      </c>
    </row>
    <row r="64" spans="1:16">
      <c r="A64" s="8">
        <v>46345</v>
      </c>
      <c r="B64" s="7" t="s">
        <v>31</v>
      </c>
      <c r="C64" s="7" t="s">
        <v>11</v>
      </c>
      <c r="D64" s="7" t="s">
        <v>20</v>
      </c>
      <c r="E64" s="7" t="s">
        <v>18</v>
      </c>
      <c r="F64" s="7">
        <v>28</v>
      </c>
      <c r="G64" s="7">
        <v>280000</v>
      </c>
      <c r="H64" s="7">
        <v>168000</v>
      </c>
      <c r="I64" s="7">
        <v>30000</v>
      </c>
      <c r="J64" s="7">
        <v>265000</v>
      </c>
      <c r="K64" s="7">
        <v>28000</v>
      </c>
      <c r="L64" s="7">
        <f>tbl_FinancialData[[#This Row],[Revenue]]-tbl_FinancialData[[#This Row],[COGS]]</f>
        <v>112000</v>
      </c>
      <c r="M64" s="13">
        <f>tbl_FinancialData[[#This Row],[Gross Profit]]/tbl_FinancialData[[#This Row],[Revenue]]</f>
        <v>0.4</v>
      </c>
      <c r="N64" s="7">
        <f>tbl_FinancialData[[#This Row],[Gross Profit]]-tbl_FinancialData[[#This Row],[Operating Expense]]</f>
        <v>82000</v>
      </c>
      <c r="O64" s="7">
        <f>tbl_FinancialData[[#This Row],[Revenue]]-tbl_FinancialData[[#This Row],[Budget Revenue]]</f>
        <v>15000</v>
      </c>
      <c r="P64" s="17">
        <f>tbl_FinancialData[[#This Row],[Revenue Variance]]/tbl_FinancialData[[#This Row],[Budget Revenue]]</f>
        <v>5.6603773584905662E-2</v>
      </c>
    </row>
    <row r="65" spans="1:16">
      <c r="A65" s="8">
        <v>46350</v>
      </c>
      <c r="B65" s="7" t="s">
        <v>31</v>
      </c>
      <c r="C65" s="7" t="s">
        <v>14</v>
      </c>
      <c r="D65" s="7" t="s">
        <v>21</v>
      </c>
      <c r="E65" s="7" t="s">
        <v>13</v>
      </c>
      <c r="F65" s="7">
        <v>52</v>
      </c>
      <c r="G65" s="7">
        <v>156000</v>
      </c>
      <c r="H65" s="7">
        <v>78000</v>
      </c>
      <c r="I65" s="7">
        <v>18000</v>
      </c>
      <c r="J65" s="7">
        <v>148000</v>
      </c>
      <c r="K65" s="7">
        <v>17000</v>
      </c>
      <c r="L65" s="7">
        <f>tbl_FinancialData[[#This Row],[Revenue]]-tbl_FinancialData[[#This Row],[COGS]]</f>
        <v>78000</v>
      </c>
      <c r="M65" s="13">
        <f>tbl_FinancialData[[#This Row],[Gross Profit]]/tbl_FinancialData[[#This Row],[Revenue]]</f>
        <v>0.5</v>
      </c>
      <c r="N65" s="7">
        <f>tbl_FinancialData[[#This Row],[Gross Profit]]-tbl_FinancialData[[#This Row],[Operating Expense]]</f>
        <v>60000</v>
      </c>
      <c r="O65" s="7">
        <f>tbl_FinancialData[[#This Row],[Revenue]]-tbl_FinancialData[[#This Row],[Budget Revenue]]</f>
        <v>8000</v>
      </c>
      <c r="P65" s="17">
        <f>tbl_FinancialData[[#This Row],[Revenue Variance]]/tbl_FinancialData[[#This Row],[Budget Revenue]]</f>
        <v>5.4054054054054057E-2</v>
      </c>
    </row>
    <row r="66" spans="1:16">
      <c r="A66" s="8">
        <v>46355</v>
      </c>
      <c r="B66" s="7" t="s">
        <v>31</v>
      </c>
      <c r="C66" s="7" t="s">
        <v>16</v>
      </c>
      <c r="D66" s="7" t="s">
        <v>15</v>
      </c>
      <c r="E66" s="7" t="s">
        <v>13</v>
      </c>
      <c r="F66" s="7">
        <v>65</v>
      </c>
      <c r="G66" s="7">
        <v>195000</v>
      </c>
      <c r="H66" s="7">
        <v>117000</v>
      </c>
      <c r="I66" s="7">
        <v>32000</v>
      </c>
      <c r="J66" s="7">
        <v>185000</v>
      </c>
      <c r="K66" s="7">
        <v>30000</v>
      </c>
      <c r="L66" s="7">
        <f>tbl_FinancialData[[#This Row],[Revenue]]-tbl_FinancialData[[#This Row],[COGS]]</f>
        <v>78000</v>
      </c>
      <c r="M66" s="13">
        <f>tbl_FinancialData[[#This Row],[Gross Profit]]/tbl_FinancialData[[#This Row],[Revenue]]</f>
        <v>0.4</v>
      </c>
      <c r="N66" s="7">
        <f>tbl_FinancialData[[#This Row],[Gross Profit]]-tbl_FinancialData[[#This Row],[Operating Expense]]</f>
        <v>46000</v>
      </c>
      <c r="O66" s="7">
        <f>tbl_FinancialData[[#This Row],[Revenue]]-tbl_FinancialData[[#This Row],[Budget Revenue]]</f>
        <v>10000</v>
      </c>
      <c r="P66" s="17">
        <f>tbl_FinancialData[[#This Row],[Revenue Variance]]/tbl_FinancialData[[#This Row],[Budget Revenue]]</f>
        <v>5.4054054054054057E-2</v>
      </c>
    </row>
    <row r="67" spans="1:16">
      <c r="A67" s="8">
        <v>46359</v>
      </c>
      <c r="B67" s="7" t="s">
        <v>32</v>
      </c>
      <c r="C67" s="7" t="s">
        <v>11</v>
      </c>
      <c r="D67" s="7" t="s">
        <v>12</v>
      </c>
      <c r="E67" s="7" t="s">
        <v>13</v>
      </c>
      <c r="F67" s="7">
        <v>22</v>
      </c>
      <c r="G67" s="7">
        <v>1320000</v>
      </c>
      <c r="H67" s="7">
        <v>990000</v>
      </c>
      <c r="I67" s="7">
        <v>130000</v>
      </c>
      <c r="J67" s="7">
        <v>1250000</v>
      </c>
      <c r="K67" s="7">
        <v>125000</v>
      </c>
      <c r="L67" s="7">
        <f>tbl_FinancialData[[#This Row],[Revenue]]-tbl_FinancialData[[#This Row],[COGS]]</f>
        <v>330000</v>
      </c>
      <c r="M67" s="13">
        <f>tbl_FinancialData[[#This Row],[Gross Profit]]/tbl_FinancialData[[#This Row],[Revenue]]</f>
        <v>0.25</v>
      </c>
      <c r="N67" s="7">
        <f>tbl_FinancialData[[#This Row],[Gross Profit]]-tbl_FinancialData[[#This Row],[Operating Expense]]</f>
        <v>200000</v>
      </c>
      <c r="O67" s="7">
        <f>tbl_FinancialData[[#This Row],[Revenue]]-tbl_FinancialData[[#This Row],[Budget Revenue]]</f>
        <v>70000</v>
      </c>
      <c r="P67" s="17">
        <f>tbl_FinancialData[[#This Row],[Revenue Variance]]/tbl_FinancialData[[#This Row],[Budget Revenue]]</f>
        <v>5.6000000000000001E-2</v>
      </c>
    </row>
    <row r="68" spans="1:16">
      <c r="A68" s="8">
        <v>46364</v>
      </c>
      <c r="B68" s="7" t="s">
        <v>32</v>
      </c>
      <c r="C68" s="7" t="s">
        <v>14</v>
      </c>
      <c r="D68" s="7" t="s">
        <v>17</v>
      </c>
      <c r="E68" s="7" t="s">
        <v>18</v>
      </c>
      <c r="F68" s="7">
        <v>38</v>
      </c>
      <c r="G68" s="7">
        <v>190000</v>
      </c>
      <c r="H68" s="7">
        <v>114000</v>
      </c>
      <c r="I68" s="7">
        <v>22000</v>
      </c>
      <c r="J68" s="7">
        <v>180000</v>
      </c>
      <c r="K68" s="7">
        <v>21000</v>
      </c>
      <c r="L68" s="7">
        <f>tbl_FinancialData[[#This Row],[Revenue]]-tbl_FinancialData[[#This Row],[COGS]]</f>
        <v>76000</v>
      </c>
      <c r="M68" s="13">
        <f>tbl_FinancialData[[#This Row],[Gross Profit]]/tbl_FinancialData[[#This Row],[Revenue]]</f>
        <v>0.4</v>
      </c>
      <c r="N68" s="7">
        <f>tbl_FinancialData[[#This Row],[Gross Profit]]-tbl_FinancialData[[#This Row],[Operating Expense]]</f>
        <v>54000</v>
      </c>
      <c r="O68" s="7">
        <f>tbl_FinancialData[[#This Row],[Revenue]]-tbl_FinancialData[[#This Row],[Budget Revenue]]</f>
        <v>10000</v>
      </c>
      <c r="P68" s="17">
        <f>tbl_FinancialData[[#This Row],[Revenue Variance]]/tbl_FinancialData[[#This Row],[Budget Revenue]]</f>
        <v>5.5555555555555552E-2</v>
      </c>
    </row>
    <row r="69" spans="1:16">
      <c r="A69" s="8">
        <v>46370</v>
      </c>
      <c r="B69" s="7" t="s">
        <v>32</v>
      </c>
      <c r="C69" s="7" t="s">
        <v>16</v>
      </c>
      <c r="D69" s="7" t="s">
        <v>19</v>
      </c>
      <c r="E69" s="7" t="s">
        <v>13</v>
      </c>
      <c r="F69" s="7">
        <v>34</v>
      </c>
      <c r="G69" s="7">
        <v>408000</v>
      </c>
      <c r="H69" s="7">
        <v>265200</v>
      </c>
      <c r="I69" s="7">
        <v>39000</v>
      </c>
      <c r="J69" s="7">
        <v>390000</v>
      </c>
      <c r="K69" s="7">
        <v>37000</v>
      </c>
      <c r="L69" s="7">
        <f>tbl_FinancialData[[#This Row],[Revenue]]-tbl_FinancialData[[#This Row],[COGS]]</f>
        <v>142800</v>
      </c>
      <c r="M69" s="13">
        <f>tbl_FinancialData[[#This Row],[Gross Profit]]/tbl_FinancialData[[#This Row],[Revenue]]</f>
        <v>0.35</v>
      </c>
      <c r="N69" s="7">
        <f>tbl_FinancialData[[#This Row],[Gross Profit]]-tbl_FinancialData[[#This Row],[Operating Expense]]</f>
        <v>103800</v>
      </c>
      <c r="O69" s="7">
        <f>tbl_FinancialData[[#This Row],[Revenue]]-tbl_FinancialData[[#This Row],[Budget Revenue]]</f>
        <v>18000</v>
      </c>
      <c r="P69" s="17">
        <f>tbl_FinancialData[[#This Row],[Revenue Variance]]/tbl_FinancialData[[#This Row],[Budget Revenue]]</f>
        <v>4.6153846153846156E-2</v>
      </c>
    </row>
    <row r="70" spans="1:16">
      <c r="A70" s="8">
        <v>46375</v>
      </c>
      <c r="B70" s="7" t="s">
        <v>32</v>
      </c>
      <c r="C70" s="7" t="s">
        <v>11</v>
      </c>
      <c r="D70" s="7" t="s">
        <v>20</v>
      </c>
      <c r="E70" s="7" t="s">
        <v>18</v>
      </c>
      <c r="F70" s="7">
        <v>30</v>
      </c>
      <c r="G70" s="7">
        <v>300000</v>
      </c>
      <c r="H70" s="7">
        <v>180000</v>
      </c>
      <c r="I70" s="7">
        <v>32000</v>
      </c>
      <c r="J70" s="7">
        <v>285000</v>
      </c>
      <c r="K70" s="7">
        <v>30000</v>
      </c>
      <c r="L70" s="7">
        <f>tbl_FinancialData[[#This Row],[Revenue]]-tbl_FinancialData[[#This Row],[COGS]]</f>
        <v>120000</v>
      </c>
      <c r="M70" s="13">
        <f>tbl_FinancialData[[#This Row],[Gross Profit]]/tbl_FinancialData[[#This Row],[Revenue]]</f>
        <v>0.4</v>
      </c>
      <c r="N70" s="7">
        <f>tbl_FinancialData[[#This Row],[Gross Profit]]-tbl_FinancialData[[#This Row],[Operating Expense]]</f>
        <v>88000</v>
      </c>
      <c r="O70" s="7">
        <f>tbl_FinancialData[[#This Row],[Revenue]]-tbl_FinancialData[[#This Row],[Budget Revenue]]</f>
        <v>15000</v>
      </c>
      <c r="P70" s="17">
        <f>tbl_FinancialData[[#This Row],[Revenue Variance]]/tbl_FinancialData[[#This Row],[Budget Revenue]]</f>
        <v>5.2631578947368418E-2</v>
      </c>
    </row>
    <row r="71" spans="1:16">
      <c r="A71" s="8">
        <v>46380</v>
      </c>
      <c r="B71" s="7" t="s">
        <v>32</v>
      </c>
      <c r="C71" s="7" t="s">
        <v>14</v>
      </c>
      <c r="D71" s="7" t="s">
        <v>21</v>
      </c>
      <c r="E71" s="7" t="s">
        <v>13</v>
      </c>
      <c r="F71" s="7">
        <v>55</v>
      </c>
      <c r="G71" s="7">
        <v>165000</v>
      </c>
      <c r="H71" s="7">
        <v>82500</v>
      </c>
      <c r="I71" s="7">
        <v>19000</v>
      </c>
      <c r="J71" s="7">
        <v>158000</v>
      </c>
      <c r="K71" s="7">
        <v>18000</v>
      </c>
      <c r="L71" s="7">
        <f>tbl_FinancialData[[#This Row],[Revenue]]-tbl_FinancialData[[#This Row],[COGS]]</f>
        <v>82500</v>
      </c>
      <c r="M71" s="13">
        <f>tbl_FinancialData[[#This Row],[Gross Profit]]/tbl_FinancialData[[#This Row],[Revenue]]</f>
        <v>0.5</v>
      </c>
      <c r="N71" s="7">
        <f>tbl_FinancialData[[#This Row],[Gross Profit]]-tbl_FinancialData[[#This Row],[Operating Expense]]</f>
        <v>63500</v>
      </c>
      <c r="O71" s="7">
        <f>tbl_FinancialData[[#This Row],[Revenue]]-tbl_FinancialData[[#This Row],[Budget Revenue]]</f>
        <v>7000</v>
      </c>
      <c r="P71" s="17">
        <f>tbl_FinancialData[[#This Row],[Revenue Variance]]/tbl_FinancialData[[#This Row],[Budget Revenue]]</f>
        <v>4.4303797468354431E-2</v>
      </c>
    </row>
    <row r="72" spans="1:16">
      <c r="A72" s="8">
        <v>46385</v>
      </c>
      <c r="B72" s="7" t="s">
        <v>32</v>
      </c>
      <c r="C72" s="7" t="s">
        <v>16</v>
      </c>
      <c r="D72" s="7" t="s">
        <v>15</v>
      </c>
      <c r="E72" s="7" t="s">
        <v>13</v>
      </c>
      <c r="F72" s="7">
        <v>70</v>
      </c>
      <c r="G72" s="7">
        <v>210000</v>
      </c>
      <c r="H72" s="7">
        <v>126000</v>
      </c>
      <c r="I72" s="7">
        <v>35000</v>
      </c>
      <c r="J72" s="7">
        <v>200000</v>
      </c>
      <c r="K72" s="7">
        <v>32000</v>
      </c>
      <c r="L72" s="7">
        <f>tbl_FinancialData[[#This Row],[Revenue]]-tbl_FinancialData[[#This Row],[COGS]]</f>
        <v>84000</v>
      </c>
      <c r="M72" s="13">
        <f>tbl_FinancialData[[#This Row],[Gross Profit]]/tbl_FinancialData[[#This Row],[Revenue]]</f>
        <v>0.4</v>
      </c>
      <c r="N72" s="7">
        <f>tbl_FinancialData[[#This Row],[Gross Profit]]-tbl_FinancialData[[#This Row],[Operating Expense]]</f>
        <v>49000</v>
      </c>
      <c r="O72" s="7">
        <f>tbl_FinancialData[[#This Row],[Revenue]]-tbl_FinancialData[[#This Row],[Budget Revenue]]</f>
        <v>10000</v>
      </c>
      <c r="P72" s="17">
        <f>tbl_FinancialData[[#This Row],[Revenue Variance]]/tbl_FinancialData[[#This Row],[Budget Revenue]]</f>
        <v>0.05</v>
      </c>
    </row>
    <row r="73" spans="1:16">
      <c r="A73" s="8">
        <v>46027</v>
      </c>
      <c r="B73" s="7" t="s">
        <v>10</v>
      </c>
      <c r="C73" s="7" t="s">
        <v>11</v>
      </c>
      <c r="D73" s="7" t="s">
        <v>12</v>
      </c>
      <c r="E73" s="7" t="s">
        <v>13</v>
      </c>
      <c r="F73" s="7">
        <v>8</v>
      </c>
      <c r="G73" s="7">
        <v>480000</v>
      </c>
      <c r="H73" s="7">
        <v>360000</v>
      </c>
      <c r="I73" s="7">
        <v>60000</v>
      </c>
      <c r="J73" s="7">
        <v>470000</v>
      </c>
      <c r="K73" s="7">
        <v>58000</v>
      </c>
      <c r="L73" s="7">
        <f>tbl_FinancialData[[#This Row],[Revenue]]-tbl_FinancialData[[#This Row],[COGS]]</f>
        <v>120000</v>
      </c>
      <c r="M73" s="13">
        <f>tbl_FinancialData[[#This Row],[Gross Profit]]/tbl_FinancialData[[#This Row],[Revenue]]</f>
        <v>0.25</v>
      </c>
      <c r="N73" s="7">
        <f>tbl_FinancialData[[#This Row],[Gross Profit]]-tbl_FinancialData[[#This Row],[Operating Expense]]</f>
        <v>60000</v>
      </c>
      <c r="O73" s="7">
        <f>tbl_FinancialData[[#This Row],[Revenue]]-tbl_FinancialData[[#This Row],[Budget Revenue]]</f>
        <v>10000</v>
      </c>
      <c r="P73" s="17">
        <f>tbl_FinancialData[[#This Row],[Revenue Variance]]/tbl_FinancialData[[#This Row],[Budget Revenue]]</f>
        <v>2.1276595744680851E-2</v>
      </c>
    </row>
    <row r="74" spans="1:16">
      <c r="A74" s="8">
        <v>46032</v>
      </c>
      <c r="B74" s="7" t="s">
        <v>10</v>
      </c>
      <c r="C74" s="7" t="s">
        <v>14</v>
      </c>
      <c r="D74" s="7" t="s">
        <v>19</v>
      </c>
      <c r="E74" s="7" t="s">
        <v>13</v>
      </c>
      <c r="F74" s="7">
        <v>12</v>
      </c>
      <c r="G74" s="7">
        <v>144000</v>
      </c>
      <c r="H74" s="7">
        <v>93600</v>
      </c>
      <c r="I74" s="7">
        <v>18000</v>
      </c>
      <c r="J74" s="7">
        <v>140000</v>
      </c>
      <c r="K74" s="7">
        <v>17000</v>
      </c>
      <c r="L74" s="7">
        <f>tbl_FinancialData[[#This Row],[Revenue]]-tbl_FinancialData[[#This Row],[COGS]]</f>
        <v>50400</v>
      </c>
      <c r="M74" s="13">
        <f>tbl_FinancialData[[#This Row],[Gross Profit]]/tbl_FinancialData[[#This Row],[Revenue]]</f>
        <v>0.35</v>
      </c>
      <c r="N74" s="7">
        <f>tbl_FinancialData[[#This Row],[Gross Profit]]-tbl_FinancialData[[#This Row],[Operating Expense]]</f>
        <v>32400</v>
      </c>
      <c r="O74" s="7">
        <f>tbl_FinancialData[[#This Row],[Revenue]]-tbl_FinancialData[[#This Row],[Budget Revenue]]</f>
        <v>4000</v>
      </c>
      <c r="P74" s="17">
        <f>tbl_FinancialData[[#This Row],[Revenue Variance]]/tbl_FinancialData[[#This Row],[Budget Revenue]]</f>
        <v>2.8571428571428571E-2</v>
      </c>
    </row>
    <row r="75" spans="1:16">
      <c r="A75" s="8">
        <v>46038</v>
      </c>
      <c r="B75" s="7" t="s">
        <v>10</v>
      </c>
      <c r="C75" s="7" t="s">
        <v>16</v>
      </c>
      <c r="D75" s="7" t="s">
        <v>20</v>
      </c>
      <c r="E75" s="7" t="s">
        <v>18</v>
      </c>
      <c r="F75" s="7">
        <v>9</v>
      </c>
      <c r="G75" s="7">
        <v>90000</v>
      </c>
      <c r="H75" s="7">
        <v>54000</v>
      </c>
      <c r="I75" s="7">
        <v>12000</v>
      </c>
      <c r="J75" s="7">
        <v>85000</v>
      </c>
      <c r="K75" s="7">
        <v>11000</v>
      </c>
      <c r="L75" s="7">
        <f>tbl_FinancialData[[#This Row],[Revenue]]-tbl_FinancialData[[#This Row],[COGS]]</f>
        <v>36000</v>
      </c>
      <c r="M75" s="13">
        <f>tbl_FinancialData[[#This Row],[Gross Profit]]/tbl_FinancialData[[#This Row],[Revenue]]</f>
        <v>0.4</v>
      </c>
      <c r="N75" s="7">
        <f>tbl_FinancialData[[#This Row],[Gross Profit]]-tbl_FinancialData[[#This Row],[Operating Expense]]</f>
        <v>24000</v>
      </c>
      <c r="O75" s="7">
        <f>tbl_FinancialData[[#This Row],[Revenue]]-tbl_FinancialData[[#This Row],[Budget Revenue]]</f>
        <v>5000</v>
      </c>
      <c r="P75" s="17">
        <f>tbl_FinancialData[[#This Row],[Revenue Variance]]/tbl_FinancialData[[#This Row],[Budget Revenue]]</f>
        <v>5.8823529411764705E-2</v>
      </c>
    </row>
    <row r="76" spans="1:16">
      <c r="A76" s="8">
        <v>46044</v>
      </c>
      <c r="B76" s="7" t="s">
        <v>10</v>
      </c>
      <c r="C76" s="7" t="s">
        <v>11</v>
      </c>
      <c r="D76" s="7" t="s">
        <v>21</v>
      </c>
      <c r="E76" s="7" t="s">
        <v>13</v>
      </c>
      <c r="F76" s="7">
        <v>22</v>
      </c>
      <c r="G76" s="7">
        <v>66000</v>
      </c>
      <c r="H76" s="7">
        <v>33000</v>
      </c>
      <c r="I76" s="7">
        <v>9000</v>
      </c>
      <c r="J76" s="7">
        <v>62000</v>
      </c>
      <c r="K76" s="7">
        <v>8500</v>
      </c>
      <c r="L76" s="7">
        <f>tbl_FinancialData[[#This Row],[Revenue]]-tbl_FinancialData[[#This Row],[COGS]]</f>
        <v>33000</v>
      </c>
      <c r="M76" s="13">
        <f>tbl_FinancialData[[#This Row],[Gross Profit]]/tbl_FinancialData[[#This Row],[Revenue]]</f>
        <v>0.5</v>
      </c>
      <c r="N76" s="7">
        <f>tbl_FinancialData[[#This Row],[Gross Profit]]-tbl_FinancialData[[#This Row],[Operating Expense]]</f>
        <v>24000</v>
      </c>
      <c r="O76" s="7">
        <f>tbl_FinancialData[[#This Row],[Revenue]]-tbl_FinancialData[[#This Row],[Budget Revenue]]</f>
        <v>4000</v>
      </c>
      <c r="P76" s="17">
        <f>tbl_FinancialData[[#This Row],[Revenue Variance]]/tbl_FinancialData[[#This Row],[Budget Revenue]]</f>
        <v>6.4516129032258063E-2</v>
      </c>
    </row>
    <row r="77" spans="1:16">
      <c r="A77" s="8">
        <v>46049</v>
      </c>
      <c r="B77" s="7" t="s">
        <v>10</v>
      </c>
      <c r="C77" s="7" t="s">
        <v>14</v>
      </c>
      <c r="D77" s="7" t="s">
        <v>15</v>
      </c>
      <c r="E77" s="7" t="s">
        <v>13</v>
      </c>
      <c r="F77" s="7">
        <v>30</v>
      </c>
      <c r="G77" s="7">
        <v>90000</v>
      </c>
      <c r="H77" s="7">
        <v>54000</v>
      </c>
      <c r="I77" s="7">
        <v>15000</v>
      </c>
      <c r="J77" s="7">
        <v>85000</v>
      </c>
      <c r="K77" s="7">
        <v>14000</v>
      </c>
      <c r="L77" s="7">
        <f>tbl_FinancialData[[#This Row],[Revenue]]-tbl_FinancialData[[#This Row],[COGS]]</f>
        <v>36000</v>
      </c>
      <c r="M77" s="13">
        <f>tbl_FinancialData[[#This Row],[Gross Profit]]/tbl_FinancialData[[#This Row],[Revenue]]</f>
        <v>0.4</v>
      </c>
      <c r="N77" s="7">
        <f>tbl_FinancialData[[#This Row],[Gross Profit]]-tbl_FinancialData[[#This Row],[Operating Expense]]</f>
        <v>21000</v>
      </c>
      <c r="O77" s="7">
        <f>tbl_FinancialData[[#This Row],[Revenue]]-tbl_FinancialData[[#This Row],[Budget Revenue]]</f>
        <v>5000</v>
      </c>
      <c r="P77" s="17">
        <f>tbl_FinancialData[[#This Row],[Revenue Variance]]/tbl_FinancialData[[#This Row],[Budget Revenue]]</f>
        <v>5.8823529411764705E-2</v>
      </c>
    </row>
    <row r="78" spans="1:16">
      <c r="A78" s="8">
        <v>46058</v>
      </c>
      <c r="B78" s="7" t="s">
        <v>22</v>
      </c>
      <c r="C78" s="7" t="s">
        <v>11</v>
      </c>
      <c r="D78" s="7" t="s">
        <v>12</v>
      </c>
      <c r="E78" s="7" t="s">
        <v>13</v>
      </c>
      <c r="F78" s="7">
        <v>9</v>
      </c>
      <c r="G78" s="7">
        <v>540000</v>
      </c>
      <c r="H78" s="7">
        <v>405000</v>
      </c>
      <c r="I78" s="7">
        <v>65000</v>
      </c>
      <c r="J78" s="7">
        <v>520000</v>
      </c>
      <c r="K78" s="7">
        <v>62000</v>
      </c>
      <c r="L78" s="7">
        <f>tbl_FinancialData[[#This Row],[Revenue]]-tbl_FinancialData[[#This Row],[COGS]]</f>
        <v>135000</v>
      </c>
      <c r="M78" s="13">
        <f>tbl_FinancialData[[#This Row],[Gross Profit]]/tbl_FinancialData[[#This Row],[Revenue]]</f>
        <v>0.25</v>
      </c>
      <c r="N78" s="7">
        <f>tbl_FinancialData[[#This Row],[Gross Profit]]-tbl_FinancialData[[#This Row],[Operating Expense]]</f>
        <v>70000</v>
      </c>
      <c r="O78" s="7">
        <f>tbl_FinancialData[[#This Row],[Revenue]]-tbl_FinancialData[[#This Row],[Budget Revenue]]</f>
        <v>20000</v>
      </c>
      <c r="P78" s="17">
        <f>tbl_FinancialData[[#This Row],[Revenue Variance]]/tbl_FinancialData[[#This Row],[Budget Revenue]]</f>
        <v>3.8461538461538464E-2</v>
      </c>
    </row>
    <row r="79" spans="1:16">
      <c r="A79" s="8">
        <v>46063</v>
      </c>
      <c r="B79" s="7" t="s">
        <v>22</v>
      </c>
      <c r="C79" s="7" t="s">
        <v>14</v>
      </c>
      <c r="D79" s="7" t="s">
        <v>19</v>
      </c>
      <c r="E79" s="7" t="s">
        <v>13</v>
      </c>
      <c r="F79" s="7">
        <v>14</v>
      </c>
      <c r="G79" s="7">
        <v>168000</v>
      </c>
      <c r="H79" s="7">
        <v>109200</v>
      </c>
      <c r="I79" s="7">
        <v>19000</v>
      </c>
      <c r="J79" s="7">
        <v>160000</v>
      </c>
      <c r="K79" s="7">
        <v>18000</v>
      </c>
      <c r="L79" s="7">
        <f>tbl_FinancialData[[#This Row],[Revenue]]-tbl_FinancialData[[#This Row],[COGS]]</f>
        <v>58800</v>
      </c>
      <c r="M79" s="13">
        <f>tbl_FinancialData[[#This Row],[Gross Profit]]/tbl_FinancialData[[#This Row],[Revenue]]</f>
        <v>0.35</v>
      </c>
      <c r="N79" s="7">
        <f>tbl_FinancialData[[#This Row],[Gross Profit]]-tbl_FinancialData[[#This Row],[Operating Expense]]</f>
        <v>39800</v>
      </c>
      <c r="O79" s="7">
        <f>tbl_FinancialData[[#This Row],[Revenue]]-tbl_FinancialData[[#This Row],[Budget Revenue]]</f>
        <v>8000</v>
      </c>
      <c r="P79" s="17">
        <f>tbl_FinancialData[[#This Row],[Revenue Variance]]/tbl_FinancialData[[#This Row],[Budget Revenue]]</f>
        <v>0.05</v>
      </c>
    </row>
    <row r="80" spans="1:16">
      <c r="A80" s="8">
        <v>46069</v>
      </c>
      <c r="B80" s="7" t="s">
        <v>22</v>
      </c>
      <c r="C80" s="7" t="s">
        <v>16</v>
      </c>
      <c r="D80" s="7" t="s">
        <v>20</v>
      </c>
      <c r="E80" s="7" t="s">
        <v>18</v>
      </c>
      <c r="F80" s="7">
        <v>11</v>
      </c>
      <c r="G80" s="7">
        <v>110000</v>
      </c>
      <c r="H80" s="7">
        <v>66000</v>
      </c>
      <c r="I80" s="7">
        <v>13000</v>
      </c>
      <c r="J80" s="7">
        <v>105000</v>
      </c>
      <c r="K80" s="7">
        <v>12000</v>
      </c>
      <c r="L80" s="7">
        <f>tbl_FinancialData[[#This Row],[Revenue]]-tbl_FinancialData[[#This Row],[COGS]]</f>
        <v>44000</v>
      </c>
      <c r="M80" s="13">
        <f>tbl_FinancialData[[#This Row],[Gross Profit]]/tbl_FinancialData[[#This Row],[Revenue]]</f>
        <v>0.4</v>
      </c>
      <c r="N80" s="7">
        <f>tbl_FinancialData[[#This Row],[Gross Profit]]-tbl_FinancialData[[#This Row],[Operating Expense]]</f>
        <v>31000</v>
      </c>
      <c r="O80" s="7">
        <f>tbl_FinancialData[[#This Row],[Revenue]]-tbl_FinancialData[[#This Row],[Budget Revenue]]</f>
        <v>5000</v>
      </c>
      <c r="P80" s="17">
        <f>tbl_FinancialData[[#This Row],[Revenue Variance]]/tbl_FinancialData[[#This Row],[Budget Revenue]]</f>
        <v>4.7619047619047616E-2</v>
      </c>
    </row>
    <row r="81" spans="1:16">
      <c r="A81" s="8">
        <v>46075</v>
      </c>
      <c r="B81" s="7" t="s">
        <v>22</v>
      </c>
      <c r="C81" s="7" t="s">
        <v>11</v>
      </c>
      <c r="D81" s="7" t="s">
        <v>21</v>
      </c>
      <c r="E81" s="7" t="s">
        <v>13</v>
      </c>
      <c r="F81" s="7">
        <v>25</v>
      </c>
      <c r="G81" s="7">
        <v>75000</v>
      </c>
      <c r="H81" s="7">
        <v>37500</v>
      </c>
      <c r="I81" s="7">
        <v>10000</v>
      </c>
      <c r="J81" s="7">
        <v>72000</v>
      </c>
      <c r="K81" s="7">
        <v>9500</v>
      </c>
      <c r="L81" s="7">
        <f>tbl_FinancialData[[#This Row],[Revenue]]-tbl_FinancialData[[#This Row],[COGS]]</f>
        <v>37500</v>
      </c>
      <c r="M81" s="13">
        <f>tbl_FinancialData[[#This Row],[Gross Profit]]/tbl_FinancialData[[#This Row],[Revenue]]</f>
        <v>0.5</v>
      </c>
      <c r="N81" s="7">
        <f>tbl_FinancialData[[#This Row],[Gross Profit]]-tbl_FinancialData[[#This Row],[Operating Expense]]</f>
        <v>27500</v>
      </c>
      <c r="O81" s="7">
        <f>tbl_FinancialData[[#This Row],[Revenue]]-tbl_FinancialData[[#This Row],[Budget Revenue]]</f>
        <v>3000</v>
      </c>
      <c r="P81" s="17">
        <f>tbl_FinancialData[[#This Row],[Revenue Variance]]/tbl_FinancialData[[#This Row],[Budget Revenue]]</f>
        <v>4.1666666666666664E-2</v>
      </c>
    </row>
    <row r="82" spans="1:16">
      <c r="A82" s="8">
        <v>46080</v>
      </c>
      <c r="B82" s="7" t="s">
        <v>22</v>
      </c>
      <c r="C82" s="7" t="s">
        <v>14</v>
      </c>
      <c r="D82" s="7" t="s">
        <v>15</v>
      </c>
      <c r="E82" s="7" t="s">
        <v>13</v>
      </c>
      <c r="F82" s="7">
        <v>33</v>
      </c>
      <c r="G82" s="7">
        <v>99000</v>
      </c>
      <c r="H82" s="7">
        <v>59400</v>
      </c>
      <c r="I82" s="7">
        <v>16000</v>
      </c>
      <c r="J82" s="7">
        <v>95000</v>
      </c>
      <c r="K82" s="7">
        <v>15000</v>
      </c>
      <c r="L82" s="7">
        <f>tbl_FinancialData[[#This Row],[Revenue]]-tbl_FinancialData[[#This Row],[COGS]]</f>
        <v>39600</v>
      </c>
      <c r="M82" s="13">
        <f>tbl_FinancialData[[#This Row],[Gross Profit]]/tbl_FinancialData[[#This Row],[Revenue]]</f>
        <v>0.4</v>
      </c>
      <c r="N82" s="7">
        <f>tbl_FinancialData[[#This Row],[Gross Profit]]-tbl_FinancialData[[#This Row],[Operating Expense]]</f>
        <v>23600</v>
      </c>
      <c r="O82" s="7">
        <f>tbl_FinancialData[[#This Row],[Revenue]]-tbl_FinancialData[[#This Row],[Budget Revenue]]</f>
        <v>4000</v>
      </c>
      <c r="P82" s="17">
        <f>tbl_FinancialData[[#This Row],[Revenue Variance]]/tbl_FinancialData[[#This Row],[Budget Revenue]]</f>
        <v>4.2105263157894736E-2</v>
      </c>
    </row>
    <row r="83" spans="1:16">
      <c r="A83" s="8">
        <v>46086</v>
      </c>
      <c r="B83" s="7" t="s">
        <v>23</v>
      </c>
      <c r="C83" s="7" t="s">
        <v>11</v>
      </c>
      <c r="D83" s="7" t="s">
        <v>12</v>
      </c>
      <c r="E83" s="7" t="s">
        <v>13</v>
      </c>
      <c r="F83" s="7">
        <v>12</v>
      </c>
      <c r="G83" s="7">
        <v>720000</v>
      </c>
      <c r="H83" s="7">
        <v>540000</v>
      </c>
      <c r="I83" s="7">
        <v>80000</v>
      </c>
      <c r="J83" s="7">
        <v>690000</v>
      </c>
      <c r="K83" s="7">
        <v>76000</v>
      </c>
      <c r="L83" s="7">
        <f>tbl_FinancialData[[#This Row],[Revenue]]-tbl_FinancialData[[#This Row],[COGS]]</f>
        <v>180000</v>
      </c>
      <c r="M83" s="13">
        <f>tbl_FinancialData[[#This Row],[Gross Profit]]/tbl_FinancialData[[#This Row],[Revenue]]</f>
        <v>0.25</v>
      </c>
      <c r="N83" s="7">
        <f>tbl_FinancialData[[#This Row],[Gross Profit]]-tbl_FinancialData[[#This Row],[Operating Expense]]</f>
        <v>100000</v>
      </c>
      <c r="O83" s="7">
        <f>tbl_FinancialData[[#This Row],[Revenue]]-tbl_FinancialData[[#This Row],[Budget Revenue]]</f>
        <v>30000</v>
      </c>
      <c r="P83" s="17">
        <f>tbl_FinancialData[[#This Row],[Revenue Variance]]/tbl_FinancialData[[#This Row],[Budget Revenue]]</f>
        <v>4.3478260869565216E-2</v>
      </c>
    </row>
    <row r="84" spans="1:16">
      <c r="A84" s="8">
        <v>46091</v>
      </c>
      <c r="B84" s="7" t="s">
        <v>23</v>
      </c>
      <c r="C84" s="7" t="s">
        <v>14</v>
      </c>
      <c r="D84" s="7" t="s">
        <v>19</v>
      </c>
      <c r="E84" s="7" t="s">
        <v>13</v>
      </c>
      <c r="F84" s="7">
        <v>16</v>
      </c>
      <c r="G84" s="7">
        <v>192000</v>
      </c>
      <c r="H84" s="7">
        <v>124800</v>
      </c>
      <c r="I84" s="7">
        <v>21000</v>
      </c>
      <c r="J84" s="7">
        <v>180000</v>
      </c>
      <c r="K84" s="7">
        <v>20000</v>
      </c>
      <c r="L84" s="7">
        <f>tbl_FinancialData[[#This Row],[Revenue]]-tbl_FinancialData[[#This Row],[COGS]]</f>
        <v>67200</v>
      </c>
      <c r="M84" s="13">
        <f>tbl_FinancialData[[#This Row],[Gross Profit]]/tbl_FinancialData[[#This Row],[Revenue]]</f>
        <v>0.35</v>
      </c>
      <c r="N84" s="7">
        <f>tbl_FinancialData[[#This Row],[Gross Profit]]-tbl_FinancialData[[#This Row],[Operating Expense]]</f>
        <v>46200</v>
      </c>
      <c r="O84" s="7">
        <f>tbl_FinancialData[[#This Row],[Revenue]]-tbl_FinancialData[[#This Row],[Budget Revenue]]</f>
        <v>12000</v>
      </c>
      <c r="P84" s="17">
        <f>tbl_FinancialData[[#This Row],[Revenue Variance]]/tbl_FinancialData[[#This Row],[Budget Revenue]]</f>
        <v>6.6666666666666666E-2</v>
      </c>
    </row>
    <row r="85" spans="1:16">
      <c r="A85" s="8">
        <v>46097</v>
      </c>
      <c r="B85" s="7" t="s">
        <v>23</v>
      </c>
      <c r="C85" s="7" t="s">
        <v>16</v>
      </c>
      <c r="D85" s="7" t="s">
        <v>20</v>
      </c>
      <c r="E85" s="7" t="s">
        <v>18</v>
      </c>
      <c r="F85" s="7">
        <v>13</v>
      </c>
      <c r="G85" s="7">
        <v>130000</v>
      </c>
      <c r="H85" s="7">
        <v>78000</v>
      </c>
      <c r="I85" s="7">
        <v>15000</v>
      </c>
      <c r="J85" s="7">
        <v>125000</v>
      </c>
      <c r="K85" s="7">
        <v>14000</v>
      </c>
      <c r="L85" s="7">
        <f>tbl_FinancialData[[#This Row],[Revenue]]-tbl_FinancialData[[#This Row],[COGS]]</f>
        <v>52000</v>
      </c>
      <c r="M85" s="13">
        <f>tbl_FinancialData[[#This Row],[Gross Profit]]/tbl_FinancialData[[#This Row],[Revenue]]</f>
        <v>0.4</v>
      </c>
      <c r="N85" s="7">
        <f>tbl_FinancialData[[#This Row],[Gross Profit]]-tbl_FinancialData[[#This Row],[Operating Expense]]</f>
        <v>37000</v>
      </c>
      <c r="O85" s="7">
        <f>tbl_FinancialData[[#This Row],[Revenue]]-tbl_FinancialData[[#This Row],[Budget Revenue]]</f>
        <v>5000</v>
      </c>
      <c r="P85" s="17">
        <f>tbl_FinancialData[[#This Row],[Revenue Variance]]/tbl_FinancialData[[#This Row],[Budget Revenue]]</f>
        <v>0.04</v>
      </c>
    </row>
    <row r="86" spans="1:16">
      <c r="A86" s="8">
        <v>46103</v>
      </c>
      <c r="B86" s="7" t="s">
        <v>23</v>
      </c>
      <c r="C86" s="7" t="s">
        <v>11</v>
      </c>
      <c r="D86" s="7" t="s">
        <v>21</v>
      </c>
      <c r="E86" s="7" t="s">
        <v>13</v>
      </c>
      <c r="F86" s="7">
        <v>27</v>
      </c>
      <c r="G86" s="7">
        <v>81000</v>
      </c>
      <c r="H86" s="7">
        <v>40500</v>
      </c>
      <c r="I86" s="7">
        <v>10500</v>
      </c>
      <c r="J86" s="7">
        <v>78000</v>
      </c>
      <c r="K86" s="7">
        <v>10000</v>
      </c>
      <c r="L86" s="7">
        <f>tbl_FinancialData[[#This Row],[Revenue]]-tbl_FinancialData[[#This Row],[COGS]]</f>
        <v>40500</v>
      </c>
      <c r="M86" s="13">
        <f>tbl_FinancialData[[#This Row],[Gross Profit]]/tbl_FinancialData[[#This Row],[Revenue]]</f>
        <v>0.5</v>
      </c>
      <c r="N86" s="7">
        <f>tbl_FinancialData[[#This Row],[Gross Profit]]-tbl_FinancialData[[#This Row],[Operating Expense]]</f>
        <v>30000</v>
      </c>
      <c r="O86" s="7">
        <f>tbl_FinancialData[[#This Row],[Revenue]]-tbl_FinancialData[[#This Row],[Budget Revenue]]</f>
        <v>3000</v>
      </c>
      <c r="P86" s="17">
        <f>tbl_FinancialData[[#This Row],[Revenue Variance]]/tbl_FinancialData[[#This Row],[Budget Revenue]]</f>
        <v>3.8461538461538464E-2</v>
      </c>
    </row>
    <row r="87" spans="1:16">
      <c r="A87" s="8">
        <v>46108</v>
      </c>
      <c r="B87" s="7" t="s">
        <v>23</v>
      </c>
      <c r="C87" s="7" t="s">
        <v>14</v>
      </c>
      <c r="D87" s="7" t="s">
        <v>15</v>
      </c>
      <c r="E87" s="7" t="s">
        <v>13</v>
      </c>
      <c r="F87" s="7">
        <v>36</v>
      </c>
      <c r="G87" s="7">
        <v>108000</v>
      </c>
      <c r="H87" s="7">
        <v>64800</v>
      </c>
      <c r="I87" s="7">
        <v>17000</v>
      </c>
      <c r="J87" s="7">
        <v>103000</v>
      </c>
      <c r="K87" s="7">
        <v>16000</v>
      </c>
      <c r="L87" s="7">
        <f>tbl_FinancialData[[#This Row],[Revenue]]-tbl_FinancialData[[#This Row],[COGS]]</f>
        <v>43200</v>
      </c>
      <c r="M87" s="13">
        <f>tbl_FinancialData[[#This Row],[Gross Profit]]/tbl_FinancialData[[#This Row],[Revenue]]</f>
        <v>0.4</v>
      </c>
      <c r="N87" s="7">
        <f>tbl_FinancialData[[#This Row],[Gross Profit]]-tbl_FinancialData[[#This Row],[Operating Expense]]</f>
        <v>26200</v>
      </c>
      <c r="O87" s="7">
        <f>tbl_FinancialData[[#This Row],[Revenue]]-tbl_FinancialData[[#This Row],[Budget Revenue]]</f>
        <v>5000</v>
      </c>
      <c r="P87" s="17">
        <f>tbl_FinancialData[[#This Row],[Revenue Variance]]/tbl_FinancialData[[#This Row],[Budget Revenue]]</f>
        <v>4.8543689320388349E-2</v>
      </c>
    </row>
    <row r="88" spans="1:16">
      <c r="A88" s="8">
        <v>46117</v>
      </c>
      <c r="B88" s="7" t="s">
        <v>24</v>
      </c>
      <c r="C88" s="7" t="s">
        <v>11</v>
      </c>
      <c r="D88" s="7" t="s">
        <v>12</v>
      </c>
      <c r="E88" s="7" t="s">
        <v>13</v>
      </c>
      <c r="F88" s="7">
        <v>13</v>
      </c>
      <c r="G88" s="7">
        <v>780000</v>
      </c>
      <c r="H88" s="7">
        <v>585000</v>
      </c>
      <c r="I88" s="7">
        <v>85000</v>
      </c>
      <c r="J88" s="7">
        <v>750000</v>
      </c>
      <c r="K88" s="7">
        <v>80000</v>
      </c>
      <c r="L88" s="7">
        <f>tbl_FinancialData[[#This Row],[Revenue]]-tbl_FinancialData[[#This Row],[COGS]]</f>
        <v>195000</v>
      </c>
      <c r="M88" s="13">
        <f>tbl_FinancialData[[#This Row],[Gross Profit]]/tbl_FinancialData[[#This Row],[Revenue]]</f>
        <v>0.25</v>
      </c>
      <c r="N88" s="7">
        <f>tbl_FinancialData[[#This Row],[Gross Profit]]-tbl_FinancialData[[#This Row],[Operating Expense]]</f>
        <v>110000</v>
      </c>
      <c r="O88" s="7">
        <f>tbl_FinancialData[[#This Row],[Revenue]]-tbl_FinancialData[[#This Row],[Budget Revenue]]</f>
        <v>30000</v>
      </c>
      <c r="P88" s="17">
        <f>tbl_FinancialData[[#This Row],[Revenue Variance]]/tbl_FinancialData[[#This Row],[Budget Revenue]]</f>
        <v>0.04</v>
      </c>
    </row>
    <row r="89" spans="1:16">
      <c r="A89" s="8">
        <v>46122</v>
      </c>
      <c r="B89" s="7" t="s">
        <v>24</v>
      </c>
      <c r="C89" s="7" t="s">
        <v>14</v>
      </c>
      <c r="D89" s="7" t="s">
        <v>19</v>
      </c>
      <c r="E89" s="7" t="s">
        <v>13</v>
      </c>
      <c r="F89" s="7">
        <v>18</v>
      </c>
      <c r="G89" s="7">
        <v>216000</v>
      </c>
      <c r="H89" s="7">
        <v>140400</v>
      </c>
      <c r="I89" s="7">
        <v>23000</v>
      </c>
      <c r="J89" s="7">
        <v>205000</v>
      </c>
      <c r="K89" s="7">
        <v>22000</v>
      </c>
      <c r="L89" s="7">
        <f>tbl_FinancialData[[#This Row],[Revenue]]-tbl_FinancialData[[#This Row],[COGS]]</f>
        <v>75600</v>
      </c>
      <c r="M89" s="13">
        <f>tbl_FinancialData[[#This Row],[Gross Profit]]/tbl_FinancialData[[#This Row],[Revenue]]</f>
        <v>0.35</v>
      </c>
      <c r="N89" s="7">
        <f>tbl_FinancialData[[#This Row],[Gross Profit]]-tbl_FinancialData[[#This Row],[Operating Expense]]</f>
        <v>52600</v>
      </c>
      <c r="O89" s="7">
        <f>tbl_FinancialData[[#This Row],[Revenue]]-tbl_FinancialData[[#This Row],[Budget Revenue]]</f>
        <v>11000</v>
      </c>
      <c r="P89" s="17">
        <f>tbl_FinancialData[[#This Row],[Revenue Variance]]/tbl_FinancialData[[#This Row],[Budget Revenue]]</f>
        <v>5.3658536585365853E-2</v>
      </c>
    </row>
    <row r="90" spans="1:16">
      <c r="A90" s="8">
        <v>46128</v>
      </c>
      <c r="B90" s="7" t="s">
        <v>24</v>
      </c>
      <c r="C90" s="7" t="s">
        <v>16</v>
      </c>
      <c r="D90" s="7" t="s">
        <v>20</v>
      </c>
      <c r="E90" s="7" t="s">
        <v>18</v>
      </c>
      <c r="F90" s="7">
        <v>15</v>
      </c>
      <c r="G90" s="7">
        <v>150000</v>
      </c>
      <c r="H90" s="7">
        <v>90000</v>
      </c>
      <c r="I90" s="7">
        <v>17000</v>
      </c>
      <c r="J90" s="7">
        <v>145000</v>
      </c>
      <c r="K90" s="7">
        <v>16000</v>
      </c>
      <c r="L90" s="7">
        <f>tbl_FinancialData[[#This Row],[Revenue]]-tbl_FinancialData[[#This Row],[COGS]]</f>
        <v>60000</v>
      </c>
      <c r="M90" s="13">
        <f>tbl_FinancialData[[#This Row],[Gross Profit]]/tbl_FinancialData[[#This Row],[Revenue]]</f>
        <v>0.4</v>
      </c>
      <c r="N90" s="7">
        <f>tbl_FinancialData[[#This Row],[Gross Profit]]-tbl_FinancialData[[#This Row],[Operating Expense]]</f>
        <v>43000</v>
      </c>
      <c r="O90" s="7">
        <f>tbl_FinancialData[[#This Row],[Revenue]]-tbl_FinancialData[[#This Row],[Budget Revenue]]</f>
        <v>5000</v>
      </c>
      <c r="P90" s="17">
        <f>tbl_FinancialData[[#This Row],[Revenue Variance]]/tbl_FinancialData[[#This Row],[Budget Revenue]]</f>
        <v>3.4482758620689655E-2</v>
      </c>
    </row>
    <row r="91" spans="1:16">
      <c r="A91" s="8">
        <v>46134</v>
      </c>
      <c r="B91" s="7" t="s">
        <v>24</v>
      </c>
      <c r="C91" s="7" t="s">
        <v>11</v>
      </c>
      <c r="D91" s="7" t="s">
        <v>21</v>
      </c>
      <c r="E91" s="7" t="s">
        <v>13</v>
      </c>
      <c r="F91" s="7">
        <v>29</v>
      </c>
      <c r="G91" s="7">
        <v>87000</v>
      </c>
      <c r="H91" s="7">
        <v>43500</v>
      </c>
      <c r="I91" s="7">
        <v>11000</v>
      </c>
      <c r="J91" s="7">
        <v>83000</v>
      </c>
      <c r="K91" s="7">
        <v>10500</v>
      </c>
      <c r="L91" s="7">
        <f>tbl_FinancialData[[#This Row],[Revenue]]-tbl_FinancialData[[#This Row],[COGS]]</f>
        <v>43500</v>
      </c>
      <c r="M91" s="13">
        <f>tbl_FinancialData[[#This Row],[Gross Profit]]/tbl_FinancialData[[#This Row],[Revenue]]</f>
        <v>0.5</v>
      </c>
      <c r="N91" s="7">
        <f>tbl_FinancialData[[#This Row],[Gross Profit]]-tbl_FinancialData[[#This Row],[Operating Expense]]</f>
        <v>32500</v>
      </c>
      <c r="O91" s="7">
        <f>tbl_FinancialData[[#This Row],[Revenue]]-tbl_FinancialData[[#This Row],[Budget Revenue]]</f>
        <v>4000</v>
      </c>
      <c r="P91" s="17">
        <f>tbl_FinancialData[[#This Row],[Revenue Variance]]/tbl_FinancialData[[#This Row],[Budget Revenue]]</f>
        <v>4.8192771084337352E-2</v>
      </c>
    </row>
    <row r="92" spans="1:16">
      <c r="A92" s="8">
        <v>46139</v>
      </c>
      <c r="B92" s="7" t="s">
        <v>24</v>
      </c>
      <c r="C92" s="7" t="s">
        <v>14</v>
      </c>
      <c r="D92" s="7" t="s">
        <v>15</v>
      </c>
      <c r="E92" s="7" t="s">
        <v>13</v>
      </c>
      <c r="F92" s="7">
        <v>40</v>
      </c>
      <c r="G92" s="7">
        <v>120000</v>
      </c>
      <c r="H92" s="7">
        <v>72000</v>
      </c>
      <c r="I92" s="7">
        <v>19000</v>
      </c>
      <c r="J92" s="7">
        <v>115000</v>
      </c>
      <c r="K92" s="7">
        <v>18000</v>
      </c>
      <c r="L92" s="7">
        <f>tbl_FinancialData[[#This Row],[Revenue]]-tbl_FinancialData[[#This Row],[COGS]]</f>
        <v>48000</v>
      </c>
      <c r="M92" s="13">
        <f>tbl_FinancialData[[#This Row],[Gross Profit]]/tbl_FinancialData[[#This Row],[Revenue]]</f>
        <v>0.4</v>
      </c>
      <c r="N92" s="7">
        <f>tbl_FinancialData[[#This Row],[Gross Profit]]-tbl_FinancialData[[#This Row],[Operating Expense]]</f>
        <v>29000</v>
      </c>
      <c r="O92" s="7">
        <f>tbl_FinancialData[[#This Row],[Revenue]]-tbl_FinancialData[[#This Row],[Budget Revenue]]</f>
        <v>5000</v>
      </c>
      <c r="P92" s="17">
        <f>tbl_FinancialData[[#This Row],[Revenue Variance]]/tbl_FinancialData[[#This Row],[Budget Revenue]]</f>
        <v>4.3478260869565216E-2</v>
      </c>
    </row>
    <row r="93" spans="1:16">
      <c r="A93" s="8">
        <v>46147</v>
      </c>
      <c r="B93" s="7" t="s">
        <v>25</v>
      </c>
      <c r="C93" s="7" t="s">
        <v>11</v>
      </c>
      <c r="D93" s="7" t="s">
        <v>12</v>
      </c>
      <c r="E93" s="7" t="s">
        <v>13</v>
      </c>
      <c r="F93" s="7">
        <v>14</v>
      </c>
      <c r="G93" s="7">
        <v>840000</v>
      </c>
      <c r="H93" s="7">
        <v>630000</v>
      </c>
      <c r="I93" s="7">
        <v>90000</v>
      </c>
      <c r="J93" s="7">
        <v>800000</v>
      </c>
      <c r="K93" s="7">
        <v>85000</v>
      </c>
      <c r="L93" s="7">
        <f>tbl_FinancialData[[#This Row],[Revenue]]-tbl_FinancialData[[#This Row],[COGS]]</f>
        <v>210000</v>
      </c>
      <c r="M93" s="13">
        <f>tbl_FinancialData[[#This Row],[Gross Profit]]/tbl_FinancialData[[#This Row],[Revenue]]</f>
        <v>0.25</v>
      </c>
      <c r="N93" s="7">
        <f>tbl_FinancialData[[#This Row],[Gross Profit]]-tbl_FinancialData[[#This Row],[Operating Expense]]</f>
        <v>120000</v>
      </c>
      <c r="O93" s="7">
        <f>tbl_FinancialData[[#This Row],[Revenue]]-tbl_FinancialData[[#This Row],[Budget Revenue]]</f>
        <v>40000</v>
      </c>
      <c r="P93" s="17">
        <f>tbl_FinancialData[[#This Row],[Revenue Variance]]/tbl_FinancialData[[#This Row],[Budget Revenue]]</f>
        <v>0.05</v>
      </c>
    </row>
    <row r="94" spans="1:16">
      <c r="A94" s="8">
        <v>46152</v>
      </c>
      <c r="B94" s="7" t="s">
        <v>25</v>
      </c>
      <c r="C94" s="7" t="s">
        <v>14</v>
      </c>
      <c r="D94" s="7" t="s">
        <v>19</v>
      </c>
      <c r="E94" s="7" t="s">
        <v>13</v>
      </c>
      <c r="F94" s="7">
        <v>20</v>
      </c>
      <c r="G94" s="7">
        <v>240000</v>
      </c>
      <c r="H94" s="7">
        <v>156000</v>
      </c>
      <c r="I94" s="7">
        <v>25000</v>
      </c>
      <c r="J94" s="7">
        <v>230000</v>
      </c>
      <c r="K94" s="7">
        <v>24000</v>
      </c>
      <c r="L94" s="7">
        <f>tbl_FinancialData[[#This Row],[Revenue]]-tbl_FinancialData[[#This Row],[COGS]]</f>
        <v>84000</v>
      </c>
      <c r="M94" s="13">
        <f>tbl_FinancialData[[#This Row],[Gross Profit]]/tbl_FinancialData[[#This Row],[Revenue]]</f>
        <v>0.35</v>
      </c>
      <c r="N94" s="7">
        <f>tbl_FinancialData[[#This Row],[Gross Profit]]-tbl_FinancialData[[#This Row],[Operating Expense]]</f>
        <v>59000</v>
      </c>
      <c r="O94" s="7">
        <f>tbl_FinancialData[[#This Row],[Revenue]]-tbl_FinancialData[[#This Row],[Budget Revenue]]</f>
        <v>10000</v>
      </c>
      <c r="P94" s="17">
        <f>tbl_FinancialData[[#This Row],[Revenue Variance]]/tbl_FinancialData[[#This Row],[Budget Revenue]]</f>
        <v>4.3478260869565216E-2</v>
      </c>
    </row>
    <row r="95" spans="1:16">
      <c r="A95" s="8">
        <v>46158</v>
      </c>
      <c r="B95" s="7" t="s">
        <v>25</v>
      </c>
      <c r="C95" s="7" t="s">
        <v>16</v>
      </c>
      <c r="D95" s="7" t="s">
        <v>20</v>
      </c>
      <c r="E95" s="7" t="s">
        <v>18</v>
      </c>
      <c r="F95" s="7">
        <v>17</v>
      </c>
      <c r="G95" s="7">
        <v>170000</v>
      </c>
      <c r="H95" s="7">
        <v>102000</v>
      </c>
      <c r="I95" s="7">
        <v>19000</v>
      </c>
      <c r="J95" s="7">
        <v>160000</v>
      </c>
      <c r="K95" s="7">
        <v>18000</v>
      </c>
      <c r="L95" s="7">
        <f>tbl_FinancialData[[#This Row],[Revenue]]-tbl_FinancialData[[#This Row],[COGS]]</f>
        <v>68000</v>
      </c>
      <c r="M95" s="13">
        <f>tbl_FinancialData[[#This Row],[Gross Profit]]/tbl_FinancialData[[#This Row],[Revenue]]</f>
        <v>0.4</v>
      </c>
      <c r="N95" s="7">
        <f>tbl_FinancialData[[#This Row],[Gross Profit]]-tbl_FinancialData[[#This Row],[Operating Expense]]</f>
        <v>49000</v>
      </c>
      <c r="O95" s="7">
        <f>tbl_FinancialData[[#This Row],[Revenue]]-tbl_FinancialData[[#This Row],[Budget Revenue]]</f>
        <v>10000</v>
      </c>
      <c r="P95" s="17">
        <f>tbl_FinancialData[[#This Row],[Revenue Variance]]/tbl_FinancialData[[#This Row],[Budget Revenue]]</f>
        <v>6.25E-2</v>
      </c>
    </row>
    <row r="96" spans="1:16">
      <c r="A96" s="8">
        <v>46164</v>
      </c>
      <c r="B96" s="7" t="s">
        <v>25</v>
      </c>
      <c r="C96" s="7" t="s">
        <v>11</v>
      </c>
      <c r="D96" s="7" t="s">
        <v>21</v>
      </c>
      <c r="E96" s="7" t="s">
        <v>13</v>
      </c>
      <c r="F96" s="7">
        <v>31</v>
      </c>
      <c r="G96" s="7">
        <v>93000</v>
      </c>
      <c r="H96" s="7">
        <v>46500</v>
      </c>
      <c r="I96" s="7">
        <v>12000</v>
      </c>
      <c r="J96" s="7">
        <v>89000</v>
      </c>
      <c r="K96" s="7">
        <v>11000</v>
      </c>
      <c r="L96" s="7">
        <f>tbl_FinancialData[[#This Row],[Revenue]]-tbl_FinancialData[[#This Row],[COGS]]</f>
        <v>46500</v>
      </c>
      <c r="M96" s="13">
        <f>tbl_FinancialData[[#This Row],[Gross Profit]]/tbl_FinancialData[[#This Row],[Revenue]]</f>
        <v>0.5</v>
      </c>
      <c r="N96" s="7">
        <f>tbl_FinancialData[[#This Row],[Gross Profit]]-tbl_FinancialData[[#This Row],[Operating Expense]]</f>
        <v>34500</v>
      </c>
      <c r="O96" s="7">
        <f>tbl_FinancialData[[#This Row],[Revenue]]-tbl_FinancialData[[#This Row],[Budget Revenue]]</f>
        <v>4000</v>
      </c>
      <c r="P96" s="17">
        <f>tbl_FinancialData[[#This Row],[Revenue Variance]]/tbl_FinancialData[[#This Row],[Budget Revenue]]</f>
        <v>4.49438202247191E-2</v>
      </c>
    </row>
    <row r="97" spans="1:16">
      <c r="A97" s="8">
        <v>46169</v>
      </c>
      <c r="B97" s="7" t="s">
        <v>25</v>
      </c>
      <c r="C97" s="7" t="s">
        <v>14</v>
      </c>
      <c r="D97" s="7" t="s">
        <v>15</v>
      </c>
      <c r="E97" s="7" t="s">
        <v>13</v>
      </c>
      <c r="F97" s="7">
        <v>44</v>
      </c>
      <c r="G97" s="7">
        <v>132000</v>
      </c>
      <c r="H97" s="7">
        <v>79200</v>
      </c>
      <c r="I97" s="7">
        <v>21000</v>
      </c>
      <c r="J97" s="7">
        <v>125000</v>
      </c>
      <c r="K97" s="7">
        <v>20000</v>
      </c>
      <c r="L97" s="7">
        <f>tbl_FinancialData[[#This Row],[Revenue]]-tbl_FinancialData[[#This Row],[COGS]]</f>
        <v>52800</v>
      </c>
      <c r="M97" s="13">
        <f>tbl_FinancialData[[#This Row],[Gross Profit]]/tbl_FinancialData[[#This Row],[Revenue]]</f>
        <v>0.4</v>
      </c>
      <c r="N97" s="7">
        <f>tbl_FinancialData[[#This Row],[Gross Profit]]-tbl_FinancialData[[#This Row],[Operating Expense]]</f>
        <v>31800</v>
      </c>
      <c r="O97" s="7">
        <f>tbl_FinancialData[[#This Row],[Revenue]]-tbl_FinancialData[[#This Row],[Budget Revenue]]</f>
        <v>7000</v>
      </c>
      <c r="P97" s="17">
        <f>tbl_FinancialData[[#This Row],[Revenue Variance]]/tbl_FinancialData[[#This Row],[Budget Revenue]]</f>
        <v>5.6000000000000001E-2</v>
      </c>
    </row>
    <row r="98" spans="1:16">
      <c r="A98" s="8">
        <v>46178</v>
      </c>
      <c r="B98" s="7" t="s">
        <v>26</v>
      </c>
      <c r="C98" s="7" t="s">
        <v>11</v>
      </c>
      <c r="D98" s="7" t="s">
        <v>12</v>
      </c>
      <c r="E98" s="7" t="s">
        <v>13</v>
      </c>
      <c r="F98" s="7">
        <v>16</v>
      </c>
      <c r="G98" s="7">
        <v>960000</v>
      </c>
      <c r="H98" s="7">
        <v>720000</v>
      </c>
      <c r="I98" s="7">
        <v>98000</v>
      </c>
      <c r="J98" s="7">
        <v>900000</v>
      </c>
      <c r="K98" s="7">
        <v>93000</v>
      </c>
      <c r="L98" s="7">
        <f>tbl_FinancialData[[#This Row],[Revenue]]-tbl_FinancialData[[#This Row],[COGS]]</f>
        <v>240000</v>
      </c>
      <c r="M98" s="13">
        <f>tbl_FinancialData[[#This Row],[Gross Profit]]/tbl_FinancialData[[#This Row],[Revenue]]</f>
        <v>0.25</v>
      </c>
      <c r="N98" s="7">
        <f>tbl_FinancialData[[#This Row],[Gross Profit]]-tbl_FinancialData[[#This Row],[Operating Expense]]</f>
        <v>142000</v>
      </c>
      <c r="O98" s="7">
        <f>tbl_FinancialData[[#This Row],[Revenue]]-tbl_FinancialData[[#This Row],[Budget Revenue]]</f>
        <v>60000</v>
      </c>
      <c r="P98" s="17">
        <f>tbl_FinancialData[[#This Row],[Revenue Variance]]/tbl_FinancialData[[#This Row],[Budget Revenue]]</f>
        <v>6.6666666666666666E-2</v>
      </c>
    </row>
    <row r="99" spans="1:16">
      <c r="A99" s="8">
        <v>46183</v>
      </c>
      <c r="B99" s="7" t="s">
        <v>26</v>
      </c>
      <c r="C99" s="7" t="s">
        <v>14</v>
      </c>
      <c r="D99" s="7" t="s">
        <v>19</v>
      </c>
      <c r="E99" s="7" t="s">
        <v>13</v>
      </c>
      <c r="F99" s="7">
        <v>22</v>
      </c>
      <c r="G99" s="7">
        <v>264000</v>
      </c>
      <c r="H99" s="7">
        <v>171600</v>
      </c>
      <c r="I99" s="7">
        <v>27000</v>
      </c>
      <c r="J99" s="7">
        <v>250000</v>
      </c>
      <c r="K99" s="7">
        <v>26000</v>
      </c>
      <c r="L99" s="7">
        <f>tbl_FinancialData[[#This Row],[Revenue]]-tbl_FinancialData[[#This Row],[COGS]]</f>
        <v>92400</v>
      </c>
      <c r="M99" s="13">
        <f>tbl_FinancialData[[#This Row],[Gross Profit]]/tbl_FinancialData[[#This Row],[Revenue]]</f>
        <v>0.35</v>
      </c>
      <c r="N99" s="7">
        <f>tbl_FinancialData[[#This Row],[Gross Profit]]-tbl_FinancialData[[#This Row],[Operating Expense]]</f>
        <v>65400</v>
      </c>
      <c r="O99" s="7">
        <f>tbl_FinancialData[[#This Row],[Revenue]]-tbl_FinancialData[[#This Row],[Budget Revenue]]</f>
        <v>14000</v>
      </c>
      <c r="P99" s="17">
        <f>tbl_FinancialData[[#This Row],[Revenue Variance]]/tbl_FinancialData[[#This Row],[Budget Revenue]]</f>
        <v>5.6000000000000001E-2</v>
      </c>
    </row>
    <row r="100" spans="1:16">
      <c r="A100" s="8">
        <v>46189</v>
      </c>
      <c r="B100" s="7" t="s">
        <v>26</v>
      </c>
      <c r="C100" s="7" t="s">
        <v>16</v>
      </c>
      <c r="D100" s="7" t="s">
        <v>20</v>
      </c>
      <c r="E100" s="7" t="s">
        <v>18</v>
      </c>
      <c r="F100" s="7">
        <v>19</v>
      </c>
      <c r="G100" s="7">
        <v>190000</v>
      </c>
      <c r="H100" s="7">
        <v>114000</v>
      </c>
      <c r="I100" s="7">
        <v>21000</v>
      </c>
      <c r="J100" s="7">
        <v>180000</v>
      </c>
      <c r="K100" s="7">
        <v>20000</v>
      </c>
      <c r="L100" s="7">
        <f>tbl_FinancialData[[#This Row],[Revenue]]-tbl_FinancialData[[#This Row],[COGS]]</f>
        <v>76000</v>
      </c>
      <c r="M100" s="13">
        <f>tbl_FinancialData[[#This Row],[Gross Profit]]/tbl_FinancialData[[#This Row],[Revenue]]</f>
        <v>0.4</v>
      </c>
      <c r="N100" s="7">
        <f>tbl_FinancialData[[#This Row],[Gross Profit]]-tbl_FinancialData[[#This Row],[Operating Expense]]</f>
        <v>55000</v>
      </c>
      <c r="O100" s="7">
        <f>tbl_FinancialData[[#This Row],[Revenue]]-tbl_FinancialData[[#This Row],[Budget Revenue]]</f>
        <v>10000</v>
      </c>
      <c r="P100" s="17">
        <f>tbl_FinancialData[[#This Row],[Revenue Variance]]/tbl_FinancialData[[#This Row],[Budget Revenue]]</f>
        <v>5.5555555555555552E-2</v>
      </c>
    </row>
    <row r="101" spans="1:16">
      <c r="A101" s="8">
        <v>46195</v>
      </c>
      <c r="B101" s="7" t="s">
        <v>26</v>
      </c>
      <c r="C101" s="7" t="s">
        <v>11</v>
      </c>
      <c r="D101" s="7" t="s">
        <v>21</v>
      </c>
      <c r="E101" s="7" t="s">
        <v>13</v>
      </c>
      <c r="F101" s="7">
        <v>35</v>
      </c>
      <c r="G101" s="7">
        <v>105000</v>
      </c>
      <c r="H101" s="7">
        <v>52500</v>
      </c>
      <c r="I101" s="7">
        <v>13000</v>
      </c>
      <c r="J101" s="7">
        <v>100000</v>
      </c>
      <c r="K101" s="7">
        <v>12000</v>
      </c>
      <c r="L101" s="7">
        <f>tbl_FinancialData[[#This Row],[Revenue]]-tbl_FinancialData[[#This Row],[COGS]]</f>
        <v>52500</v>
      </c>
      <c r="M101" s="13">
        <f>tbl_FinancialData[[#This Row],[Gross Profit]]/tbl_FinancialData[[#This Row],[Revenue]]</f>
        <v>0.5</v>
      </c>
      <c r="N101" s="7">
        <f>tbl_FinancialData[[#This Row],[Gross Profit]]-tbl_FinancialData[[#This Row],[Operating Expense]]</f>
        <v>39500</v>
      </c>
      <c r="O101" s="7">
        <f>tbl_FinancialData[[#This Row],[Revenue]]-tbl_FinancialData[[#This Row],[Budget Revenue]]</f>
        <v>5000</v>
      </c>
      <c r="P101" s="17">
        <f>tbl_FinancialData[[#This Row],[Revenue Variance]]/tbl_FinancialData[[#This Row],[Budget Revenue]]</f>
        <v>0.05</v>
      </c>
    </row>
    <row r="102" spans="1:16">
      <c r="A102" s="8">
        <v>46200</v>
      </c>
      <c r="B102" s="7" t="s">
        <v>26</v>
      </c>
      <c r="C102" s="7" t="s">
        <v>14</v>
      </c>
      <c r="D102" s="7" t="s">
        <v>15</v>
      </c>
      <c r="E102" s="7" t="s">
        <v>13</v>
      </c>
      <c r="F102" s="7">
        <v>48</v>
      </c>
      <c r="G102" s="7">
        <v>144000</v>
      </c>
      <c r="H102" s="7">
        <v>86400</v>
      </c>
      <c r="I102" s="7">
        <v>23000</v>
      </c>
      <c r="J102" s="7">
        <v>138000</v>
      </c>
      <c r="K102" s="7">
        <v>22000</v>
      </c>
      <c r="L102" s="7">
        <f>tbl_FinancialData[[#This Row],[Revenue]]-tbl_FinancialData[[#This Row],[COGS]]</f>
        <v>57600</v>
      </c>
      <c r="M102" s="13">
        <f>tbl_FinancialData[[#This Row],[Gross Profit]]/tbl_FinancialData[[#This Row],[Revenue]]</f>
        <v>0.4</v>
      </c>
      <c r="N102" s="7">
        <f>tbl_FinancialData[[#This Row],[Gross Profit]]-tbl_FinancialData[[#This Row],[Operating Expense]]</f>
        <v>34600</v>
      </c>
      <c r="O102" s="7">
        <f>tbl_FinancialData[[#This Row],[Revenue]]-tbl_FinancialData[[#This Row],[Budget Revenue]]</f>
        <v>6000</v>
      </c>
      <c r="P102" s="17">
        <f>tbl_FinancialData[[#This Row],[Revenue Variance]]/tbl_FinancialData[[#This Row],[Budget Revenue]]</f>
        <v>4.3478260869565216E-2</v>
      </c>
    </row>
    <row r="103" spans="1:16">
      <c r="A103" s="8">
        <v>46208</v>
      </c>
      <c r="B103" s="7" t="s">
        <v>27</v>
      </c>
      <c r="C103" s="7" t="s">
        <v>11</v>
      </c>
      <c r="D103" s="7" t="s">
        <v>12</v>
      </c>
      <c r="E103" s="7" t="s">
        <v>13</v>
      </c>
      <c r="F103" s="7">
        <v>17</v>
      </c>
      <c r="G103" s="7">
        <v>1020000</v>
      </c>
      <c r="H103" s="7">
        <v>765000</v>
      </c>
      <c r="I103" s="7">
        <v>102000</v>
      </c>
      <c r="J103" s="7">
        <v>970000</v>
      </c>
      <c r="K103" s="7">
        <v>98000</v>
      </c>
      <c r="L103" s="7">
        <f>tbl_FinancialData[[#This Row],[Revenue]]-tbl_FinancialData[[#This Row],[COGS]]</f>
        <v>255000</v>
      </c>
      <c r="M103" s="13">
        <f>tbl_FinancialData[[#This Row],[Gross Profit]]/tbl_FinancialData[[#This Row],[Revenue]]</f>
        <v>0.25</v>
      </c>
      <c r="N103" s="7">
        <f>tbl_FinancialData[[#This Row],[Gross Profit]]-tbl_FinancialData[[#This Row],[Operating Expense]]</f>
        <v>153000</v>
      </c>
      <c r="O103" s="7">
        <f>tbl_FinancialData[[#This Row],[Revenue]]-tbl_FinancialData[[#This Row],[Budget Revenue]]</f>
        <v>50000</v>
      </c>
      <c r="P103" s="17">
        <f>tbl_FinancialData[[#This Row],[Revenue Variance]]/tbl_FinancialData[[#This Row],[Budget Revenue]]</f>
        <v>5.1546391752577317E-2</v>
      </c>
    </row>
    <row r="104" spans="1:16">
      <c r="A104" s="8">
        <v>46213</v>
      </c>
      <c r="B104" s="7" t="s">
        <v>27</v>
      </c>
      <c r="C104" s="7" t="s">
        <v>14</v>
      </c>
      <c r="D104" s="7" t="s">
        <v>19</v>
      </c>
      <c r="E104" s="7" t="s">
        <v>13</v>
      </c>
      <c r="F104" s="7">
        <v>24</v>
      </c>
      <c r="G104" s="7">
        <v>288000</v>
      </c>
      <c r="H104" s="7">
        <v>187200</v>
      </c>
      <c r="I104" s="7">
        <v>29000</v>
      </c>
      <c r="J104" s="7">
        <v>275000</v>
      </c>
      <c r="K104" s="7">
        <v>28000</v>
      </c>
      <c r="L104" s="7">
        <f>tbl_FinancialData[[#This Row],[Revenue]]-tbl_FinancialData[[#This Row],[COGS]]</f>
        <v>100800</v>
      </c>
      <c r="M104" s="13">
        <f>tbl_FinancialData[[#This Row],[Gross Profit]]/tbl_FinancialData[[#This Row],[Revenue]]</f>
        <v>0.35</v>
      </c>
      <c r="N104" s="7">
        <f>tbl_FinancialData[[#This Row],[Gross Profit]]-tbl_FinancialData[[#This Row],[Operating Expense]]</f>
        <v>71800</v>
      </c>
      <c r="O104" s="7">
        <f>tbl_FinancialData[[#This Row],[Revenue]]-tbl_FinancialData[[#This Row],[Budget Revenue]]</f>
        <v>13000</v>
      </c>
      <c r="P104" s="17">
        <f>tbl_FinancialData[[#This Row],[Revenue Variance]]/tbl_FinancialData[[#This Row],[Budget Revenue]]</f>
        <v>4.7272727272727272E-2</v>
      </c>
    </row>
    <row r="105" spans="1:16">
      <c r="A105" s="8">
        <v>46219</v>
      </c>
      <c r="B105" s="7" t="s">
        <v>27</v>
      </c>
      <c r="C105" s="7" t="s">
        <v>16</v>
      </c>
      <c r="D105" s="7" t="s">
        <v>20</v>
      </c>
      <c r="E105" s="7" t="s">
        <v>18</v>
      </c>
      <c r="F105" s="7">
        <v>21</v>
      </c>
      <c r="G105" s="7">
        <v>210000</v>
      </c>
      <c r="H105" s="7">
        <v>126000</v>
      </c>
      <c r="I105" s="7">
        <v>23000</v>
      </c>
      <c r="J105" s="7">
        <v>200000</v>
      </c>
      <c r="K105" s="7">
        <v>22000</v>
      </c>
      <c r="L105" s="7">
        <f>tbl_FinancialData[[#This Row],[Revenue]]-tbl_FinancialData[[#This Row],[COGS]]</f>
        <v>84000</v>
      </c>
      <c r="M105" s="13">
        <f>tbl_FinancialData[[#This Row],[Gross Profit]]/tbl_FinancialData[[#This Row],[Revenue]]</f>
        <v>0.4</v>
      </c>
      <c r="N105" s="7">
        <f>tbl_FinancialData[[#This Row],[Gross Profit]]-tbl_FinancialData[[#This Row],[Operating Expense]]</f>
        <v>61000</v>
      </c>
      <c r="O105" s="7">
        <f>tbl_FinancialData[[#This Row],[Revenue]]-tbl_FinancialData[[#This Row],[Budget Revenue]]</f>
        <v>10000</v>
      </c>
      <c r="P105" s="17">
        <f>tbl_FinancialData[[#This Row],[Revenue Variance]]/tbl_FinancialData[[#This Row],[Budget Revenue]]</f>
        <v>0.05</v>
      </c>
    </row>
    <row r="106" spans="1:16">
      <c r="A106" s="8">
        <v>46225</v>
      </c>
      <c r="B106" s="7" t="s">
        <v>27</v>
      </c>
      <c r="C106" s="7" t="s">
        <v>11</v>
      </c>
      <c r="D106" s="7" t="s">
        <v>21</v>
      </c>
      <c r="E106" s="7" t="s">
        <v>13</v>
      </c>
      <c r="F106" s="7">
        <v>39</v>
      </c>
      <c r="G106" s="7">
        <v>117000</v>
      </c>
      <c r="H106" s="7">
        <v>58500</v>
      </c>
      <c r="I106" s="7">
        <v>14000</v>
      </c>
      <c r="J106" s="7">
        <v>112000</v>
      </c>
      <c r="K106" s="7">
        <v>13000</v>
      </c>
      <c r="L106" s="7">
        <f>tbl_FinancialData[[#This Row],[Revenue]]-tbl_FinancialData[[#This Row],[COGS]]</f>
        <v>58500</v>
      </c>
      <c r="M106" s="13">
        <f>tbl_FinancialData[[#This Row],[Gross Profit]]/tbl_FinancialData[[#This Row],[Revenue]]</f>
        <v>0.5</v>
      </c>
      <c r="N106" s="7">
        <f>tbl_FinancialData[[#This Row],[Gross Profit]]-tbl_FinancialData[[#This Row],[Operating Expense]]</f>
        <v>44500</v>
      </c>
      <c r="O106" s="7">
        <f>tbl_FinancialData[[#This Row],[Revenue]]-tbl_FinancialData[[#This Row],[Budget Revenue]]</f>
        <v>5000</v>
      </c>
      <c r="P106" s="17">
        <f>tbl_FinancialData[[#This Row],[Revenue Variance]]/tbl_FinancialData[[#This Row],[Budget Revenue]]</f>
        <v>4.4642857142857144E-2</v>
      </c>
    </row>
    <row r="107" spans="1:16">
      <c r="A107" s="8">
        <v>46230</v>
      </c>
      <c r="B107" s="7" t="s">
        <v>27</v>
      </c>
      <c r="C107" s="7" t="s">
        <v>14</v>
      </c>
      <c r="D107" s="7" t="s">
        <v>15</v>
      </c>
      <c r="E107" s="7" t="s">
        <v>13</v>
      </c>
      <c r="F107" s="7">
        <v>52</v>
      </c>
      <c r="G107" s="7">
        <v>156000</v>
      </c>
      <c r="H107" s="7">
        <v>93600</v>
      </c>
      <c r="I107" s="7">
        <v>25000</v>
      </c>
      <c r="J107" s="7">
        <v>150000</v>
      </c>
      <c r="K107" s="7">
        <v>23000</v>
      </c>
      <c r="L107" s="7">
        <f>tbl_FinancialData[[#This Row],[Revenue]]-tbl_FinancialData[[#This Row],[COGS]]</f>
        <v>62400</v>
      </c>
      <c r="M107" s="13">
        <f>tbl_FinancialData[[#This Row],[Gross Profit]]/tbl_FinancialData[[#This Row],[Revenue]]</f>
        <v>0.4</v>
      </c>
      <c r="N107" s="7">
        <f>tbl_FinancialData[[#This Row],[Gross Profit]]-tbl_FinancialData[[#This Row],[Operating Expense]]</f>
        <v>37400</v>
      </c>
      <c r="O107" s="7">
        <f>tbl_FinancialData[[#This Row],[Revenue]]-tbl_FinancialData[[#This Row],[Budget Revenue]]</f>
        <v>6000</v>
      </c>
      <c r="P107" s="17">
        <f>tbl_FinancialData[[#This Row],[Revenue Variance]]/tbl_FinancialData[[#This Row],[Budget Revenue]]</f>
        <v>0.04</v>
      </c>
    </row>
    <row r="108" spans="1:16">
      <c r="A108" s="8">
        <v>46239</v>
      </c>
      <c r="B108" s="7" t="s">
        <v>28</v>
      </c>
      <c r="C108" s="7" t="s">
        <v>11</v>
      </c>
      <c r="D108" s="7" t="s">
        <v>12</v>
      </c>
      <c r="E108" s="7" t="s">
        <v>13</v>
      </c>
      <c r="F108" s="7">
        <v>19</v>
      </c>
      <c r="G108" s="7">
        <v>1140000</v>
      </c>
      <c r="H108" s="7">
        <v>855000</v>
      </c>
      <c r="I108" s="7">
        <v>110000</v>
      </c>
      <c r="J108" s="7">
        <v>1080000</v>
      </c>
      <c r="K108" s="7">
        <v>105000</v>
      </c>
      <c r="L108" s="7">
        <f>tbl_FinancialData[[#This Row],[Revenue]]-tbl_FinancialData[[#This Row],[COGS]]</f>
        <v>285000</v>
      </c>
      <c r="M108" s="13">
        <f>tbl_FinancialData[[#This Row],[Gross Profit]]/tbl_FinancialData[[#This Row],[Revenue]]</f>
        <v>0.25</v>
      </c>
      <c r="N108" s="7">
        <f>tbl_FinancialData[[#This Row],[Gross Profit]]-tbl_FinancialData[[#This Row],[Operating Expense]]</f>
        <v>175000</v>
      </c>
      <c r="O108" s="7">
        <f>tbl_FinancialData[[#This Row],[Revenue]]-tbl_FinancialData[[#This Row],[Budget Revenue]]</f>
        <v>60000</v>
      </c>
      <c r="P108" s="17">
        <f>tbl_FinancialData[[#This Row],[Revenue Variance]]/tbl_FinancialData[[#This Row],[Budget Revenue]]</f>
        <v>5.5555555555555552E-2</v>
      </c>
    </row>
    <row r="109" spans="1:16">
      <c r="A109" s="8">
        <v>46244</v>
      </c>
      <c r="B109" s="7" t="s">
        <v>28</v>
      </c>
      <c r="C109" s="7" t="s">
        <v>14</v>
      </c>
      <c r="D109" s="7" t="s">
        <v>19</v>
      </c>
      <c r="E109" s="7" t="s">
        <v>13</v>
      </c>
      <c r="F109" s="7">
        <v>26</v>
      </c>
      <c r="G109" s="7">
        <v>312000</v>
      </c>
      <c r="H109" s="7">
        <v>202800</v>
      </c>
      <c r="I109" s="7">
        <v>31000</v>
      </c>
      <c r="J109" s="7">
        <v>295000</v>
      </c>
      <c r="K109" s="7">
        <v>30000</v>
      </c>
      <c r="L109" s="7">
        <f>tbl_FinancialData[[#This Row],[Revenue]]-tbl_FinancialData[[#This Row],[COGS]]</f>
        <v>109200</v>
      </c>
      <c r="M109" s="13">
        <f>tbl_FinancialData[[#This Row],[Gross Profit]]/tbl_FinancialData[[#This Row],[Revenue]]</f>
        <v>0.35</v>
      </c>
      <c r="N109" s="7">
        <f>tbl_FinancialData[[#This Row],[Gross Profit]]-tbl_FinancialData[[#This Row],[Operating Expense]]</f>
        <v>78200</v>
      </c>
      <c r="O109" s="7">
        <f>tbl_FinancialData[[#This Row],[Revenue]]-tbl_FinancialData[[#This Row],[Budget Revenue]]</f>
        <v>17000</v>
      </c>
      <c r="P109" s="17">
        <f>tbl_FinancialData[[#This Row],[Revenue Variance]]/tbl_FinancialData[[#This Row],[Budget Revenue]]</f>
        <v>5.7627118644067797E-2</v>
      </c>
    </row>
    <row r="110" spans="1:16">
      <c r="A110" s="8">
        <v>46250</v>
      </c>
      <c r="B110" s="7" t="s">
        <v>28</v>
      </c>
      <c r="C110" s="7" t="s">
        <v>16</v>
      </c>
      <c r="D110" s="7" t="s">
        <v>20</v>
      </c>
      <c r="E110" s="7" t="s">
        <v>18</v>
      </c>
      <c r="F110" s="7">
        <v>23</v>
      </c>
      <c r="G110" s="7">
        <v>230000</v>
      </c>
      <c r="H110" s="7">
        <v>138000</v>
      </c>
      <c r="I110" s="7">
        <v>25000</v>
      </c>
      <c r="J110" s="7">
        <v>220000</v>
      </c>
      <c r="K110" s="7">
        <v>24000</v>
      </c>
      <c r="L110" s="7">
        <f>tbl_FinancialData[[#This Row],[Revenue]]-tbl_FinancialData[[#This Row],[COGS]]</f>
        <v>92000</v>
      </c>
      <c r="M110" s="13">
        <f>tbl_FinancialData[[#This Row],[Gross Profit]]/tbl_FinancialData[[#This Row],[Revenue]]</f>
        <v>0.4</v>
      </c>
      <c r="N110" s="7">
        <f>tbl_FinancialData[[#This Row],[Gross Profit]]-tbl_FinancialData[[#This Row],[Operating Expense]]</f>
        <v>67000</v>
      </c>
      <c r="O110" s="7">
        <f>tbl_FinancialData[[#This Row],[Revenue]]-tbl_FinancialData[[#This Row],[Budget Revenue]]</f>
        <v>10000</v>
      </c>
      <c r="P110" s="17">
        <f>tbl_FinancialData[[#This Row],[Revenue Variance]]/tbl_FinancialData[[#This Row],[Budget Revenue]]</f>
        <v>4.5454545454545456E-2</v>
      </c>
    </row>
    <row r="111" spans="1:16">
      <c r="A111" s="8">
        <v>46256</v>
      </c>
      <c r="B111" s="7" t="s">
        <v>28</v>
      </c>
      <c r="C111" s="7" t="s">
        <v>11</v>
      </c>
      <c r="D111" s="7" t="s">
        <v>21</v>
      </c>
      <c r="E111" s="7" t="s">
        <v>13</v>
      </c>
      <c r="F111" s="7">
        <v>43</v>
      </c>
      <c r="G111" s="7">
        <v>129000</v>
      </c>
      <c r="H111" s="7">
        <v>64500</v>
      </c>
      <c r="I111" s="7">
        <v>15000</v>
      </c>
      <c r="J111" s="7">
        <v>123000</v>
      </c>
      <c r="K111" s="7">
        <v>14000</v>
      </c>
      <c r="L111" s="7">
        <f>tbl_FinancialData[[#This Row],[Revenue]]-tbl_FinancialData[[#This Row],[COGS]]</f>
        <v>64500</v>
      </c>
      <c r="M111" s="13">
        <f>tbl_FinancialData[[#This Row],[Gross Profit]]/tbl_FinancialData[[#This Row],[Revenue]]</f>
        <v>0.5</v>
      </c>
      <c r="N111" s="7">
        <f>tbl_FinancialData[[#This Row],[Gross Profit]]-tbl_FinancialData[[#This Row],[Operating Expense]]</f>
        <v>49500</v>
      </c>
      <c r="O111" s="7">
        <f>tbl_FinancialData[[#This Row],[Revenue]]-tbl_FinancialData[[#This Row],[Budget Revenue]]</f>
        <v>6000</v>
      </c>
      <c r="P111" s="17">
        <f>tbl_FinancialData[[#This Row],[Revenue Variance]]/tbl_FinancialData[[#This Row],[Budget Revenue]]</f>
        <v>4.878048780487805E-2</v>
      </c>
    </row>
    <row r="112" spans="1:16">
      <c r="A112" s="8">
        <v>46261</v>
      </c>
      <c r="B112" s="7" t="s">
        <v>28</v>
      </c>
      <c r="C112" s="7" t="s">
        <v>14</v>
      </c>
      <c r="D112" s="7" t="s">
        <v>15</v>
      </c>
      <c r="E112" s="7" t="s">
        <v>13</v>
      </c>
      <c r="F112" s="7">
        <v>58</v>
      </c>
      <c r="G112" s="7">
        <v>174000</v>
      </c>
      <c r="H112" s="7">
        <v>104400</v>
      </c>
      <c r="I112" s="7">
        <v>27000</v>
      </c>
      <c r="J112" s="7">
        <v>165000</v>
      </c>
      <c r="K112" s="7">
        <v>25000</v>
      </c>
      <c r="L112" s="7">
        <f>tbl_FinancialData[[#This Row],[Revenue]]-tbl_FinancialData[[#This Row],[COGS]]</f>
        <v>69600</v>
      </c>
      <c r="M112" s="13">
        <f>tbl_FinancialData[[#This Row],[Gross Profit]]/tbl_FinancialData[[#This Row],[Revenue]]</f>
        <v>0.4</v>
      </c>
      <c r="N112" s="7">
        <f>tbl_FinancialData[[#This Row],[Gross Profit]]-tbl_FinancialData[[#This Row],[Operating Expense]]</f>
        <v>42600</v>
      </c>
      <c r="O112" s="7">
        <f>tbl_FinancialData[[#This Row],[Revenue]]-tbl_FinancialData[[#This Row],[Budget Revenue]]</f>
        <v>9000</v>
      </c>
      <c r="P112" s="17">
        <f>tbl_FinancialData[[#This Row],[Revenue Variance]]/tbl_FinancialData[[#This Row],[Budget Revenue]]</f>
        <v>5.4545454545454543E-2</v>
      </c>
    </row>
    <row r="113" spans="1:16">
      <c r="A113" s="8">
        <v>46270</v>
      </c>
      <c r="B113" s="7" t="s">
        <v>29</v>
      </c>
      <c r="C113" s="7" t="s">
        <v>11</v>
      </c>
      <c r="D113" s="7" t="s">
        <v>12</v>
      </c>
      <c r="E113" s="7" t="s">
        <v>13</v>
      </c>
      <c r="F113" s="7">
        <v>18</v>
      </c>
      <c r="G113" s="7">
        <v>1080000</v>
      </c>
      <c r="H113" s="7">
        <v>810000</v>
      </c>
      <c r="I113" s="7">
        <v>108000</v>
      </c>
      <c r="J113" s="7">
        <v>1020000</v>
      </c>
      <c r="K113" s="7">
        <v>103000</v>
      </c>
      <c r="L113" s="7">
        <f>tbl_FinancialData[[#This Row],[Revenue]]-tbl_FinancialData[[#This Row],[COGS]]</f>
        <v>270000</v>
      </c>
      <c r="M113" s="13">
        <f>tbl_FinancialData[[#This Row],[Gross Profit]]/tbl_FinancialData[[#This Row],[Revenue]]</f>
        <v>0.25</v>
      </c>
      <c r="N113" s="7">
        <f>tbl_FinancialData[[#This Row],[Gross Profit]]-tbl_FinancialData[[#This Row],[Operating Expense]]</f>
        <v>162000</v>
      </c>
      <c r="O113" s="7">
        <f>tbl_FinancialData[[#This Row],[Revenue]]-tbl_FinancialData[[#This Row],[Budget Revenue]]</f>
        <v>60000</v>
      </c>
      <c r="P113" s="17">
        <f>tbl_FinancialData[[#This Row],[Revenue Variance]]/tbl_FinancialData[[#This Row],[Budget Revenue]]</f>
        <v>5.8823529411764705E-2</v>
      </c>
    </row>
    <row r="114" spans="1:16">
      <c r="A114" s="8">
        <v>46275</v>
      </c>
      <c r="B114" s="7" t="s">
        <v>29</v>
      </c>
      <c r="C114" s="7" t="s">
        <v>14</v>
      </c>
      <c r="D114" s="7" t="s">
        <v>19</v>
      </c>
      <c r="E114" s="7" t="s">
        <v>13</v>
      </c>
      <c r="F114" s="7">
        <v>28</v>
      </c>
      <c r="G114" s="7">
        <v>336000</v>
      </c>
      <c r="H114" s="7">
        <v>218400</v>
      </c>
      <c r="I114" s="7">
        <v>33000</v>
      </c>
      <c r="J114" s="7">
        <v>320000</v>
      </c>
      <c r="K114" s="7">
        <v>32000</v>
      </c>
      <c r="L114" s="7">
        <f>tbl_FinancialData[[#This Row],[Revenue]]-tbl_FinancialData[[#This Row],[COGS]]</f>
        <v>117600</v>
      </c>
      <c r="M114" s="13">
        <f>tbl_FinancialData[[#This Row],[Gross Profit]]/tbl_FinancialData[[#This Row],[Revenue]]</f>
        <v>0.35</v>
      </c>
      <c r="N114" s="7">
        <f>tbl_FinancialData[[#This Row],[Gross Profit]]-tbl_FinancialData[[#This Row],[Operating Expense]]</f>
        <v>84600</v>
      </c>
      <c r="O114" s="7">
        <f>tbl_FinancialData[[#This Row],[Revenue]]-tbl_FinancialData[[#This Row],[Budget Revenue]]</f>
        <v>16000</v>
      </c>
      <c r="P114" s="17">
        <f>tbl_FinancialData[[#This Row],[Revenue Variance]]/tbl_FinancialData[[#This Row],[Budget Revenue]]</f>
        <v>0.05</v>
      </c>
    </row>
    <row r="115" spans="1:16">
      <c r="A115" s="8">
        <v>46281</v>
      </c>
      <c r="B115" s="7" t="s">
        <v>29</v>
      </c>
      <c r="C115" s="7" t="s">
        <v>16</v>
      </c>
      <c r="D115" s="7" t="s">
        <v>20</v>
      </c>
      <c r="E115" s="7" t="s">
        <v>18</v>
      </c>
      <c r="F115" s="7">
        <v>25</v>
      </c>
      <c r="G115" s="7">
        <v>250000</v>
      </c>
      <c r="H115" s="7">
        <v>150000</v>
      </c>
      <c r="I115" s="7">
        <v>27000</v>
      </c>
      <c r="J115" s="7">
        <v>240000</v>
      </c>
      <c r="K115" s="7">
        <v>26000</v>
      </c>
      <c r="L115" s="7">
        <f>tbl_FinancialData[[#This Row],[Revenue]]-tbl_FinancialData[[#This Row],[COGS]]</f>
        <v>100000</v>
      </c>
      <c r="M115" s="13">
        <f>tbl_FinancialData[[#This Row],[Gross Profit]]/tbl_FinancialData[[#This Row],[Revenue]]</f>
        <v>0.4</v>
      </c>
      <c r="N115" s="7">
        <f>tbl_FinancialData[[#This Row],[Gross Profit]]-tbl_FinancialData[[#This Row],[Operating Expense]]</f>
        <v>73000</v>
      </c>
      <c r="O115" s="7">
        <f>tbl_FinancialData[[#This Row],[Revenue]]-tbl_FinancialData[[#This Row],[Budget Revenue]]</f>
        <v>10000</v>
      </c>
      <c r="P115" s="17">
        <f>tbl_FinancialData[[#This Row],[Revenue Variance]]/tbl_FinancialData[[#This Row],[Budget Revenue]]</f>
        <v>4.1666666666666664E-2</v>
      </c>
    </row>
    <row r="116" spans="1:16">
      <c r="A116" s="8">
        <v>46287</v>
      </c>
      <c r="B116" s="7" t="s">
        <v>29</v>
      </c>
      <c r="C116" s="7" t="s">
        <v>11</v>
      </c>
      <c r="D116" s="7" t="s">
        <v>21</v>
      </c>
      <c r="E116" s="7" t="s">
        <v>13</v>
      </c>
      <c r="F116" s="7">
        <v>47</v>
      </c>
      <c r="G116" s="7">
        <v>141000</v>
      </c>
      <c r="H116" s="7">
        <v>70500</v>
      </c>
      <c r="I116" s="7">
        <v>16000</v>
      </c>
      <c r="J116" s="7">
        <v>135000</v>
      </c>
      <c r="K116" s="7">
        <v>15000</v>
      </c>
      <c r="L116" s="7">
        <f>tbl_FinancialData[[#This Row],[Revenue]]-tbl_FinancialData[[#This Row],[COGS]]</f>
        <v>70500</v>
      </c>
      <c r="M116" s="13">
        <f>tbl_FinancialData[[#This Row],[Gross Profit]]/tbl_FinancialData[[#This Row],[Revenue]]</f>
        <v>0.5</v>
      </c>
      <c r="N116" s="7">
        <f>tbl_FinancialData[[#This Row],[Gross Profit]]-tbl_FinancialData[[#This Row],[Operating Expense]]</f>
        <v>54500</v>
      </c>
      <c r="O116" s="7">
        <f>tbl_FinancialData[[#This Row],[Revenue]]-tbl_FinancialData[[#This Row],[Budget Revenue]]</f>
        <v>6000</v>
      </c>
      <c r="P116" s="17">
        <f>tbl_FinancialData[[#This Row],[Revenue Variance]]/tbl_FinancialData[[#This Row],[Budget Revenue]]</f>
        <v>4.4444444444444446E-2</v>
      </c>
    </row>
    <row r="117" spans="1:16">
      <c r="A117" s="8">
        <v>46292</v>
      </c>
      <c r="B117" s="7" t="s">
        <v>29</v>
      </c>
      <c r="C117" s="7" t="s">
        <v>14</v>
      </c>
      <c r="D117" s="7" t="s">
        <v>15</v>
      </c>
      <c r="E117" s="7" t="s">
        <v>13</v>
      </c>
      <c r="F117" s="7">
        <v>60</v>
      </c>
      <c r="G117" s="7">
        <v>180000</v>
      </c>
      <c r="H117" s="7">
        <v>108000</v>
      </c>
      <c r="I117" s="7">
        <v>29000</v>
      </c>
      <c r="J117" s="7">
        <v>172000</v>
      </c>
      <c r="K117" s="7">
        <v>27000</v>
      </c>
      <c r="L117" s="7">
        <f>tbl_FinancialData[[#This Row],[Revenue]]-tbl_FinancialData[[#This Row],[COGS]]</f>
        <v>72000</v>
      </c>
      <c r="M117" s="13">
        <f>tbl_FinancialData[[#This Row],[Gross Profit]]/tbl_FinancialData[[#This Row],[Revenue]]</f>
        <v>0.4</v>
      </c>
      <c r="N117" s="7">
        <f>tbl_FinancialData[[#This Row],[Gross Profit]]-tbl_FinancialData[[#This Row],[Operating Expense]]</f>
        <v>43000</v>
      </c>
      <c r="O117" s="7">
        <f>tbl_FinancialData[[#This Row],[Revenue]]-tbl_FinancialData[[#This Row],[Budget Revenue]]</f>
        <v>8000</v>
      </c>
      <c r="P117" s="17">
        <f>tbl_FinancialData[[#This Row],[Revenue Variance]]/tbl_FinancialData[[#This Row],[Budget Revenue]]</f>
        <v>4.6511627906976744E-2</v>
      </c>
    </row>
    <row r="118" spans="1:16">
      <c r="A118" s="8">
        <v>46300</v>
      </c>
      <c r="B118" s="7" t="s">
        <v>30</v>
      </c>
      <c r="C118" s="7" t="s">
        <v>11</v>
      </c>
      <c r="D118" s="7" t="s">
        <v>12</v>
      </c>
      <c r="E118" s="7" t="s">
        <v>13</v>
      </c>
      <c r="F118" s="7">
        <v>21</v>
      </c>
      <c r="G118" s="7">
        <v>1260000</v>
      </c>
      <c r="H118" s="7">
        <v>945000</v>
      </c>
      <c r="I118" s="7">
        <v>120000</v>
      </c>
      <c r="J118" s="7">
        <v>1190000</v>
      </c>
      <c r="K118" s="7">
        <v>115000</v>
      </c>
      <c r="L118" s="7">
        <f>tbl_FinancialData[[#This Row],[Revenue]]-tbl_FinancialData[[#This Row],[COGS]]</f>
        <v>315000</v>
      </c>
      <c r="M118" s="13">
        <f>tbl_FinancialData[[#This Row],[Gross Profit]]/tbl_FinancialData[[#This Row],[Revenue]]</f>
        <v>0.25</v>
      </c>
      <c r="N118" s="7">
        <f>tbl_FinancialData[[#This Row],[Gross Profit]]-tbl_FinancialData[[#This Row],[Operating Expense]]</f>
        <v>195000</v>
      </c>
      <c r="O118" s="7">
        <f>tbl_FinancialData[[#This Row],[Revenue]]-tbl_FinancialData[[#This Row],[Budget Revenue]]</f>
        <v>70000</v>
      </c>
      <c r="P118" s="17">
        <f>tbl_FinancialData[[#This Row],[Revenue Variance]]/tbl_FinancialData[[#This Row],[Budget Revenue]]</f>
        <v>5.8823529411764705E-2</v>
      </c>
    </row>
    <row r="119" spans="1:16">
      <c r="A119" s="8">
        <v>46305</v>
      </c>
      <c r="B119" s="7" t="s">
        <v>30</v>
      </c>
      <c r="C119" s="7" t="s">
        <v>14</v>
      </c>
      <c r="D119" s="7" t="s">
        <v>19</v>
      </c>
      <c r="E119" s="7" t="s">
        <v>13</v>
      </c>
      <c r="F119" s="7">
        <v>30</v>
      </c>
      <c r="G119" s="7">
        <v>360000</v>
      </c>
      <c r="H119" s="7">
        <v>234000</v>
      </c>
      <c r="I119" s="7">
        <v>35000</v>
      </c>
      <c r="J119" s="7">
        <v>345000</v>
      </c>
      <c r="K119" s="7">
        <v>34000</v>
      </c>
      <c r="L119" s="7">
        <f>tbl_FinancialData[[#This Row],[Revenue]]-tbl_FinancialData[[#This Row],[COGS]]</f>
        <v>126000</v>
      </c>
      <c r="M119" s="13">
        <f>tbl_FinancialData[[#This Row],[Gross Profit]]/tbl_FinancialData[[#This Row],[Revenue]]</f>
        <v>0.35</v>
      </c>
      <c r="N119" s="7">
        <f>tbl_FinancialData[[#This Row],[Gross Profit]]-tbl_FinancialData[[#This Row],[Operating Expense]]</f>
        <v>91000</v>
      </c>
      <c r="O119" s="7">
        <f>tbl_FinancialData[[#This Row],[Revenue]]-tbl_FinancialData[[#This Row],[Budget Revenue]]</f>
        <v>15000</v>
      </c>
      <c r="P119" s="17">
        <f>tbl_FinancialData[[#This Row],[Revenue Variance]]/tbl_FinancialData[[#This Row],[Budget Revenue]]</f>
        <v>4.3478260869565216E-2</v>
      </c>
    </row>
    <row r="120" spans="1:16">
      <c r="A120" s="8">
        <v>46311</v>
      </c>
      <c r="B120" s="7" t="s">
        <v>30</v>
      </c>
      <c r="C120" s="7" t="s">
        <v>16</v>
      </c>
      <c r="D120" s="7" t="s">
        <v>20</v>
      </c>
      <c r="E120" s="7" t="s">
        <v>18</v>
      </c>
      <c r="F120" s="7">
        <v>27</v>
      </c>
      <c r="G120" s="7">
        <v>270000</v>
      </c>
      <c r="H120" s="7">
        <v>162000</v>
      </c>
      <c r="I120" s="7">
        <v>29000</v>
      </c>
      <c r="J120" s="7">
        <v>255000</v>
      </c>
      <c r="K120" s="7">
        <v>28000</v>
      </c>
      <c r="L120" s="7">
        <f>tbl_FinancialData[[#This Row],[Revenue]]-tbl_FinancialData[[#This Row],[COGS]]</f>
        <v>108000</v>
      </c>
      <c r="M120" s="13">
        <f>tbl_FinancialData[[#This Row],[Gross Profit]]/tbl_FinancialData[[#This Row],[Revenue]]</f>
        <v>0.4</v>
      </c>
      <c r="N120" s="7">
        <f>tbl_FinancialData[[#This Row],[Gross Profit]]-tbl_FinancialData[[#This Row],[Operating Expense]]</f>
        <v>79000</v>
      </c>
      <c r="O120" s="7">
        <f>tbl_FinancialData[[#This Row],[Revenue]]-tbl_FinancialData[[#This Row],[Budget Revenue]]</f>
        <v>15000</v>
      </c>
      <c r="P120" s="17">
        <f>tbl_FinancialData[[#This Row],[Revenue Variance]]/tbl_FinancialData[[#This Row],[Budget Revenue]]</f>
        <v>5.8823529411764705E-2</v>
      </c>
    </row>
    <row r="121" spans="1:16">
      <c r="A121" s="8">
        <v>46317</v>
      </c>
      <c r="B121" s="7" t="s">
        <v>30</v>
      </c>
      <c r="C121" s="7" t="s">
        <v>11</v>
      </c>
      <c r="D121" s="7" t="s">
        <v>21</v>
      </c>
      <c r="E121" s="7" t="s">
        <v>13</v>
      </c>
      <c r="F121" s="7">
        <v>51</v>
      </c>
      <c r="G121" s="7">
        <v>153000</v>
      </c>
      <c r="H121" s="7">
        <v>76500</v>
      </c>
      <c r="I121" s="7">
        <v>18000</v>
      </c>
      <c r="J121" s="7">
        <v>147000</v>
      </c>
      <c r="K121" s="7">
        <v>17000</v>
      </c>
      <c r="L121" s="7">
        <f>tbl_FinancialData[[#This Row],[Revenue]]-tbl_FinancialData[[#This Row],[COGS]]</f>
        <v>76500</v>
      </c>
      <c r="M121" s="13">
        <f>tbl_FinancialData[[#This Row],[Gross Profit]]/tbl_FinancialData[[#This Row],[Revenue]]</f>
        <v>0.5</v>
      </c>
      <c r="N121" s="7">
        <f>tbl_FinancialData[[#This Row],[Gross Profit]]-tbl_FinancialData[[#This Row],[Operating Expense]]</f>
        <v>58500</v>
      </c>
      <c r="O121" s="7">
        <f>tbl_FinancialData[[#This Row],[Revenue]]-tbl_FinancialData[[#This Row],[Budget Revenue]]</f>
        <v>6000</v>
      </c>
      <c r="P121" s="17">
        <f>tbl_FinancialData[[#This Row],[Revenue Variance]]/tbl_FinancialData[[#This Row],[Budget Revenue]]</f>
        <v>4.0816326530612242E-2</v>
      </c>
    </row>
    <row r="122" spans="1:16">
      <c r="A122" s="8">
        <v>46322</v>
      </c>
      <c r="B122" s="7" t="s">
        <v>30</v>
      </c>
      <c r="C122" s="7" t="s">
        <v>14</v>
      </c>
      <c r="D122" s="7" t="s">
        <v>15</v>
      </c>
      <c r="E122" s="7" t="s">
        <v>13</v>
      </c>
      <c r="F122" s="7">
        <v>64</v>
      </c>
      <c r="G122" s="7">
        <v>192000</v>
      </c>
      <c r="H122" s="7">
        <v>115200</v>
      </c>
      <c r="I122" s="7">
        <v>31000</v>
      </c>
      <c r="J122" s="7">
        <v>182000</v>
      </c>
      <c r="K122" s="7">
        <v>29000</v>
      </c>
      <c r="L122" s="7">
        <f>tbl_FinancialData[[#This Row],[Revenue]]-tbl_FinancialData[[#This Row],[COGS]]</f>
        <v>76800</v>
      </c>
      <c r="M122" s="13">
        <f>tbl_FinancialData[[#This Row],[Gross Profit]]/tbl_FinancialData[[#This Row],[Revenue]]</f>
        <v>0.4</v>
      </c>
      <c r="N122" s="7">
        <f>tbl_FinancialData[[#This Row],[Gross Profit]]-tbl_FinancialData[[#This Row],[Operating Expense]]</f>
        <v>45800</v>
      </c>
      <c r="O122" s="7">
        <f>tbl_FinancialData[[#This Row],[Revenue]]-tbl_FinancialData[[#This Row],[Budget Revenue]]</f>
        <v>10000</v>
      </c>
      <c r="P122" s="17">
        <f>tbl_FinancialData[[#This Row],[Revenue Variance]]/tbl_FinancialData[[#This Row],[Budget Revenue]]</f>
        <v>5.4945054945054944E-2</v>
      </c>
    </row>
    <row r="123" spans="1:16">
      <c r="A123" s="8">
        <v>46331</v>
      </c>
      <c r="B123" s="7" t="s">
        <v>31</v>
      </c>
      <c r="C123" s="7" t="s">
        <v>11</v>
      </c>
      <c r="D123" s="7" t="s">
        <v>12</v>
      </c>
      <c r="E123" s="7" t="s">
        <v>13</v>
      </c>
      <c r="F123" s="7">
        <v>22</v>
      </c>
      <c r="G123" s="7">
        <v>1320000</v>
      </c>
      <c r="H123" s="7">
        <v>990000</v>
      </c>
      <c r="I123" s="7">
        <v>125000</v>
      </c>
      <c r="J123" s="7">
        <v>1250000</v>
      </c>
      <c r="K123" s="7">
        <v>120000</v>
      </c>
      <c r="L123" s="7">
        <f>tbl_FinancialData[[#This Row],[Revenue]]-tbl_FinancialData[[#This Row],[COGS]]</f>
        <v>330000</v>
      </c>
      <c r="M123" s="13">
        <f>tbl_FinancialData[[#This Row],[Gross Profit]]/tbl_FinancialData[[#This Row],[Revenue]]</f>
        <v>0.25</v>
      </c>
      <c r="N123" s="7">
        <f>tbl_FinancialData[[#This Row],[Gross Profit]]-tbl_FinancialData[[#This Row],[Operating Expense]]</f>
        <v>205000</v>
      </c>
      <c r="O123" s="7">
        <f>tbl_FinancialData[[#This Row],[Revenue]]-tbl_FinancialData[[#This Row],[Budget Revenue]]</f>
        <v>70000</v>
      </c>
      <c r="P123" s="17">
        <f>tbl_FinancialData[[#This Row],[Revenue Variance]]/tbl_FinancialData[[#This Row],[Budget Revenue]]</f>
        <v>5.6000000000000001E-2</v>
      </c>
    </row>
    <row r="124" spans="1:16">
      <c r="A124" s="8">
        <v>46336</v>
      </c>
      <c r="B124" s="7" t="s">
        <v>31</v>
      </c>
      <c r="C124" s="7" t="s">
        <v>14</v>
      </c>
      <c r="D124" s="7" t="s">
        <v>19</v>
      </c>
      <c r="E124" s="7" t="s">
        <v>13</v>
      </c>
      <c r="F124" s="7">
        <v>32</v>
      </c>
      <c r="G124" s="7">
        <v>384000</v>
      </c>
      <c r="H124" s="7">
        <v>249600</v>
      </c>
      <c r="I124" s="7">
        <v>38000</v>
      </c>
      <c r="J124" s="7">
        <v>365000</v>
      </c>
      <c r="K124" s="7">
        <v>36000</v>
      </c>
      <c r="L124" s="7">
        <f>tbl_FinancialData[[#This Row],[Revenue]]-tbl_FinancialData[[#This Row],[COGS]]</f>
        <v>134400</v>
      </c>
      <c r="M124" s="13">
        <f>tbl_FinancialData[[#This Row],[Gross Profit]]/tbl_FinancialData[[#This Row],[Revenue]]</f>
        <v>0.35</v>
      </c>
      <c r="N124" s="7">
        <f>tbl_FinancialData[[#This Row],[Gross Profit]]-tbl_FinancialData[[#This Row],[Operating Expense]]</f>
        <v>96400</v>
      </c>
      <c r="O124" s="7">
        <f>tbl_FinancialData[[#This Row],[Revenue]]-tbl_FinancialData[[#This Row],[Budget Revenue]]</f>
        <v>19000</v>
      </c>
      <c r="P124" s="17">
        <f>tbl_FinancialData[[#This Row],[Revenue Variance]]/tbl_FinancialData[[#This Row],[Budget Revenue]]</f>
        <v>5.2054794520547946E-2</v>
      </c>
    </row>
    <row r="125" spans="1:16">
      <c r="A125" s="8">
        <v>46342</v>
      </c>
      <c r="B125" s="7" t="s">
        <v>31</v>
      </c>
      <c r="C125" s="7" t="s">
        <v>16</v>
      </c>
      <c r="D125" s="7" t="s">
        <v>20</v>
      </c>
      <c r="E125" s="7" t="s">
        <v>18</v>
      </c>
      <c r="F125" s="7">
        <v>29</v>
      </c>
      <c r="G125" s="7">
        <v>290000</v>
      </c>
      <c r="H125" s="7">
        <v>174000</v>
      </c>
      <c r="I125" s="7">
        <v>31000</v>
      </c>
      <c r="J125" s="7">
        <v>275000</v>
      </c>
      <c r="K125" s="7">
        <v>30000</v>
      </c>
      <c r="L125" s="7">
        <f>tbl_FinancialData[[#This Row],[Revenue]]-tbl_FinancialData[[#This Row],[COGS]]</f>
        <v>116000</v>
      </c>
      <c r="M125" s="13">
        <f>tbl_FinancialData[[#This Row],[Gross Profit]]/tbl_FinancialData[[#This Row],[Revenue]]</f>
        <v>0.4</v>
      </c>
      <c r="N125" s="7">
        <f>tbl_FinancialData[[#This Row],[Gross Profit]]-tbl_FinancialData[[#This Row],[Operating Expense]]</f>
        <v>85000</v>
      </c>
      <c r="O125" s="7">
        <f>tbl_FinancialData[[#This Row],[Revenue]]-tbl_FinancialData[[#This Row],[Budget Revenue]]</f>
        <v>15000</v>
      </c>
      <c r="P125" s="17">
        <f>tbl_FinancialData[[#This Row],[Revenue Variance]]/tbl_FinancialData[[#This Row],[Budget Revenue]]</f>
        <v>5.4545454545454543E-2</v>
      </c>
    </row>
    <row r="126" spans="1:16">
      <c r="A126" s="8">
        <v>46348</v>
      </c>
      <c r="B126" s="7" t="s">
        <v>31</v>
      </c>
      <c r="C126" s="7" t="s">
        <v>11</v>
      </c>
      <c r="D126" s="7" t="s">
        <v>21</v>
      </c>
      <c r="E126" s="7" t="s">
        <v>13</v>
      </c>
      <c r="F126" s="7">
        <v>54</v>
      </c>
      <c r="G126" s="7">
        <v>162000</v>
      </c>
      <c r="H126" s="7">
        <v>81000</v>
      </c>
      <c r="I126" s="7">
        <v>19000</v>
      </c>
      <c r="J126" s="7">
        <v>155000</v>
      </c>
      <c r="K126" s="7">
        <v>18000</v>
      </c>
      <c r="L126" s="7">
        <f>tbl_FinancialData[[#This Row],[Revenue]]-tbl_FinancialData[[#This Row],[COGS]]</f>
        <v>81000</v>
      </c>
      <c r="M126" s="13">
        <f>tbl_FinancialData[[#This Row],[Gross Profit]]/tbl_FinancialData[[#This Row],[Revenue]]</f>
        <v>0.5</v>
      </c>
      <c r="N126" s="7">
        <f>tbl_FinancialData[[#This Row],[Gross Profit]]-tbl_FinancialData[[#This Row],[Operating Expense]]</f>
        <v>62000</v>
      </c>
      <c r="O126" s="7">
        <f>tbl_FinancialData[[#This Row],[Revenue]]-tbl_FinancialData[[#This Row],[Budget Revenue]]</f>
        <v>7000</v>
      </c>
      <c r="P126" s="17">
        <f>tbl_FinancialData[[#This Row],[Revenue Variance]]/tbl_FinancialData[[#This Row],[Budget Revenue]]</f>
        <v>4.5161290322580643E-2</v>
      </c>
    </row>
    <row r="127" spans="1:16">
      <c r="A127" s="8">
        <v>46353</v>
      </c>
      <c r="B127" s="7" t="s">
        <v>31</v>
      </c>
      <c r="C127" s="7" t="s">
        <v>14</v>
      </c>
      <c r="D127" s="7" t="s">
        <v>15</v>
      </c>
      <c r="E127" s="7" t="s">
        <v>13</v>
      </c>
      <c r="F127" s="7">
        <v>68</v>
      </c>
      <c r="G127" s="7">
        <v>204000</v>
      </c>
      <c r="H127" s="7">
        <v>122400</v>
      </c>
      <c r="I127" s="7">
        <v>33000</v>
      </c>
      <c r="J127" s="7">
        <v>195000</v>
      </c>
      <c r="K127" s="7">
        <v>31000</v>
      </c>
      <c r="L127" s="7">
        <f>tbl_FinancialData[[#This Row],[Revenue]]-tbl_FinancialData[[#This Row],[COGS]]</f>
        <v>81600</v>
      </c>
      <c r="M127" s="13">
        <f>tbl_FinancialData[[#This Row],[Gross Profit]]/tbl_FinancialData[[#This Row],[Revenue]]</f>
        <v>0.4</v>
      </c>
      <c r="N127" s="7">
        <f>tbl_FinancialData[[#This Row],[Gross Profit]]-tbl_FinancialData[[#This Row],[Operating Expense]]</f>
        <v>48600</v>
      </c>
      <c r="O127" s="7">
        <f>tbl_FinancialData[[#This Row],[Revenue]]-tbl_FinancialData[[#This Row],[Budget Revenue]]</f>
        <v>9000</v>
      </c>
      <c r="P127" s="17">
        <f>tbl_FinancialData[[#This Row],[Revenue Variance]]/tbl_FinancialData[[#This Row],[Budget Revenue]]</f>
        <v>4.6153846153846156E-2</v>
      </c>
    </row>
    <row r="128" spans="1:16">
      <c r="A128" s="8">
        <v>46361</v>
      </c>
      <c r="B128" s="7" t="s">
        <v>32</v>
      </c>
      <c r="C128" s="7" t="s">
        <v>11</v>
      </c>
      <c r="D128" s="7" t="s">
        <v>12</v>
      </c>
      <c r="E128" s="7" t="s">
        <v>13</v>
      </c>
      <c r="F128" s="7">
        <v>24</v>
      </c>
      <c r="G128" s="7">
        <v>1440000</v>
      </c>
      <c r="H128" s="7">
        <v>1080000</v>
      </c>
      <c r="I128" s="7">
        <v>135000</v>
      </c>
      <c r="J128" s="7">
        <v>1360000</v>
      </c>
      <c r="K128" s="7">
        <v>130000</v>
      </c>
      <c r="L128" s="7">
        <f>tbl_FinancialData[[#This Row],[Revenue]]-tbl_FinancialData[[#This Row],[COGS]]</f>
        <v>360000</v>
      </c>
      <c r="M128" s="13">
        <f>tbl_FinancialData[[#This Row],[Gross Profit]]/tbl_FinancialData[[#This Row],[Revenue]]</f>
        <v>0.25</v>
      </c>
      <c r="N128" s="7">
        <f>tbl_FinancialData[[#This Row],[Gross Profit]]-tbl_FinancialData[[#This Row],[Operating Expense]]</f>
        <v>225000</v>
      </c>
      <c r="O128" s="7">
        <f>tbl_FinancialData[[#This Row],[Revenue]]-tbl_FinancialData[[#This Row],[Budget Revenue]]</f>
        <v>80000</v>
      </c>
      <c r="P128" s="17">
        <f>tbl_FinancialData[[#This Row],[Revenue Variance]]/tbl_FinancialData[[#This Row],[Budget Revenue]]</f>
        <v>5.8823529411764705E-2</v>
      </c>
    </row>
    <row r="129" spans="1:16">
      <c r="A129" s="8">
        <v>46366</v>
      </c>
      <c r="B129" s="7" t="s">
        <v>32</v>
      </c>
      <c r="C129" s="7" t="s">
        <v>14</v>
      </c>
      <c r="D129" s="7" t="s">
        <v>19</v>
      </c>
      <c r="E129" s="7" t="s">
        <v>13</v>
      </c>
      <c r="F129" s="7">
        <v>36</v>
      </c>
      <c r="G129" s="7">
        <v>432000</v>
      </c>
      <c r="H129" s="7">
        <v>280800</v>
      </c>
      <c r="I129" s="7">
        <v>41000</v>
      </c>
      <c r="J129" s="7">
        <v>410000</v>
      </c>
      <c r="K129" s="7">
        <v>39000</v>
      </c>
      <c r="L129" s="7">
        <f>tbl_FinancialData[[#This Row],[Revenue]]-tbl_FinancialData[[#This Row],[COGS]]</f>
        <v>151200</v>
      </c>
      <c r="M129" s="13">
        <f>tbl_FinancialData[[#This Row],[Gross Profit]]/tbl_FinancialData[[#This Row],[Revenue]]</f>
        <v>0.35</v>
      </c>
      <c r="N129" s="7">
        <f>tbl_FinancialData[[#This Row],[Gross Profit]]-tbl_FinancialData[[#This Row],[Operating Expense]]</f>
        <v>110200</v>
      </c>
      <c r="O129" s="7">
        <f>tbl_FinancialData[[#This Row],[Revenue]]-tbl_FinancialData[[#This Row],[Budget Revenue]]</f>
        <v>22000</v>
      </c>
      <c r="P129" s="17">
        <f>tbl_FinancialData[[#This Row],[Revenue Variance]]/tbl_FinancialData[[#This Row],[Budget Revenue]]</f>
        <v>5.3658536585365853E-2</v>
      </c>
    </row>
    <row r="130" spans="1:16">
      <c r="A130" s="8">
        <v>46372</v>
      </c>
      <c r="B130" s="7" t="s">
        <v>32</v>
      </c>
      <c r="C130" s="7" t="s">
        <v>16</v>
      </c>
      <c r="D130" s="7" t="s">
        <v>20</v>
      </c>
      <c r="E130" s="7" t="s">
        <v>18</v>
      </c>
      <c r="F130" s="7">
        <v>31</v>
      </c>
      <c r="G130" s="7">
        <v>310000</v>
      </c>
      <c r="H130" s="7">
        <v>186000</v>
      </c>
      <c r="I130" s="7">
        <v>33000</v>
      </c>
      <c r="J130" s="7">
        <v>295000</v>
      </c>
      <c r="K130" s="7">
        <v>31000</v>
      </c>
      <c r="L130" s="7">
        <f>tbl_FinancialData[[#This Row],[Revenue]]-tbl_FinancialData[[#This Row],[COGS]]</f>
        <v>124000</v>
      </c>
      <c r="M130" s="13">
        <f>tbl_FinancialData[[#This Row],[Gross Profit]]/tbl_FinancialData[[#This Row],[Revenue]]</f>
        <v>0.4</v>
      </c>
      <c r="N130" s="7">
        <f>tbl_FinancialData[[#This Row],[Gross Profit]]-tbl_FinancialData[[#This Row],[Operating Expense]]</f>
        <v>91000</v>
      </c>
      <c r="O130" s="7">
        <f>tbl_FinancialData[[#This Row],[Revenue]]-tbl_FinancialData[[#This Row],[Budget Revenue]]</f>
        <v>15000</v>
      </c>
      <c r="P130" s="17">
        <f>tbl_FinancialData[[#This Row],[Revenue Variance]]/tbl_FinancialData[[#This Row],[Budget Revenue]]</f>
        <v>5.0847457627118647E-2</v>
      </c>
    </row>
    <row r="131" spans="1:16">
      <c r="A131" s="8">
        <v>46378</v>
      </c>
      <c r="B131" s="7" t="s">
        <v>32</v>
      </c>
      <c r="C131" s="7" t="s">
        <v>11</v>
      </c>
      <c r="D131" s="7" t="s">
        <v>21</v>
      </c>
      <c r="E131" s="7" t="s">
        <v>13</v>
      </c>
      <c r="F131" s="7">
        <v>58</v>
      </c>
      <c r="G131" s="7">
        <v>174000</v>
      </c>
      <c r="H131" s="7">
        <v>87000</v>
      </c>
      <c r="I131" s="7">
        <v>20000</v>
      </c>
      <c r="J131" s="7">
        <v>165000</v>
      </c>
      <c r="K131" s="7">
        <v>19000</v>
      </c>
      <c r="L131" s="7">
        <f>tbl_FinancialData[[#This Row],[Revenue]]-tbl_FinancialData[[#This Row],[COGS]]</f>
        <v>87000</v>
      </c>
      <c r="M131" s="13">
        <f>tbl_FinancialData[[#This Row],[Gross Profit]]/tbl_FinancialData[[#This Row],[Revenue]]</f>
        <v>0.5</v>
      </c>
      <c r="N131" s="7">
        <f>tbl_FinancialData[[#This Row],[Gross Profit]]-tbl_FinancialData[[#This Row],[Operating Expense]]</f>
        <v>67000</v>
      </c>
      <c r="O131" s="7">
        <f>tbl_FinancialData[[#This Row],[Revenue]]-tbl_FinancialData[[#This Row],[Budget Revenue]]</f>
        <v>9000</v>
      </c>
      <c r="P131" s="17">
        <f>tbl_FinancialData[[#This Row],[Revenue Variance]]/tbl_FinancialData[[#This Row],[Budget Revenue]]</f>
        <v>5.4545454545454543E-2</v>
      </c>
    </row>
    <row r="132" spans="1:16">
      <c r="A132" s="9">
        <v>46383</v>
      </c>
      <c r="B132" s="10" t="s">
        <v>32</v>
      </c>
      <c r="C132" s="10" t="s">
        <v>14</v>
      </c>
      <c r="D132" s="10" t="s">
        <v>15</v>
      </c>
      <c r="E132" s="10" t="s">
        <v>13</v>
      </c>
      <c r="F132" s="10">
        <v>72</v>
      </c>
      <c r="G132" s="10">
        <v>216000</v>
      </c>
      <c r="H132" s="10">
        <v>129600</v>
      </c>
      <c r="I132" s="10">
        <v>36000</v>
      </c>
      <c r="J132" s="10">
        <v>205000</v>
      </c>
      <c r="K132" s="10">
        <v>34000</v>
      </c>
      <c r="L132" s="10">
        <f>tbl_FinancialData[[#This Row],[Revenue]]-tbl_FinancialData[[#This Row],[COGS]]</f>
        <v>86400</v>
      </c>
      <c r="M132" s="14">
        <f>tbl_FinancialData[[#This Row],[Gross Profit]]/tbl_FinancialData[[#This Row],[Revenue]]</f>
        <v>0.4</v>
      </c>
      <c r="N132" s="10">
        <f>tbl_FinancialData[[#This Row],[Gross Profit]]-tbl_FinancialData[[#This Row],[Operating Expense]]</f>
        <v>50400</v>
      </c>
      <c r="O132" s="10">
        <f>tbl_FinancialData[[#This Row],[Revenue]]-tbl_FinancialData[[#This Row],[Budget Revenue]]</f>
        <v>11000</v>
      </c>
      <c r="P132" s="18">
        <f>tbl_FinancialData[[#This Row],[Revenue Variance]]/tbl_FinancialData[[#This Row],[Budget Revenue]]</f>
        <v>5.3658536585365853E-2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9E9B-88D1-4A5E-8555-EE4A7827CF96}">
  <dimension ref="A1:O33"/>
  <sheetViews>
    <sheetView topLeftCell="A41" workbookViewId="0">
      <selection activeCell="D66" sqref="D66"/>
    </sheetView>
  </sheetViews>
  <sheetFormatPr defaultRowHeight="14.4"/>
  <cols>
    <col min="5" max="5" width="12" bestFit="1" customWidth="1"/>
    <col min="6" max="6" width="11.109375" customWidth="1"/>
    <col min="8" max="8" width="9" bestFit="1" customWidth="1"/>
    <col min="10" max="10" width="15" bestFit="1" customWidth="1"/>
    <col min="11" max="11" width="8.33203125" bestFit="1" customWidth="1"/>
    <col min="15" max="15" width="12.5546875" bestFit="1" customWidth="1"/>
  </cols>
  <sheetData>
    <row r="1" spans="1:7" ht="33.6">
      <c r="A1" s="74" t="s">
        <v>38</v>
      </c>
      <c r="B1" s="74"/>
      <c r="C1" s="74"/>
      <c r="D1" s="74"/>
      <c r="E1" s="74"/>
      <c r="F1" s="74"/>
      <c r="G1" s="74"/>
    </row>
    <row r="2" spans="1:7" ht="18">
      <c r="A2" s="75" t="s">
        <v>39</v>
      </c>
      <c r="B2" s="75"/>
      <c r="C2" s="75"/>
      <c r="D2" s="75"/>
      <c r="E2" s="75"/>
      <c r="F2" s="75"/>
      <c r="G2" s="75"/>
    </row>
    <row r="4" spans="1:7" ht="15" thickBot="1"/>
    <row r="5" spans="1:7" ht="15" thickBot="1">
      <c r="A5" s="81" t="s">
        <v>40</v>
      </c>
      <c r="B5" s="82"/>
      <c r="C5" s="82"/>
      <c r="D5" s="83"/>
      <c r="E5" s="49" t="s">
        <v>41</v>
      </c>
    </row>
    <row r="6" spans="1:7">
      <c r="A6" s="78" t="s">
        <v>42</v>
      </c>
      <c r="B6" s="79"/>
      <c r="C6" s="79"/>
      <c r="D6" s="80"/>
      <c r="E6" s="50">
        <v>42559000</v>
      </c>
    </row>
    <row r="7" spans="1:7">
      <c r="A7" s="76" t="s">
        <v>43</v>
      </c>
      <c r="B7" s="64"/>
      <c r="C7" s="64"/>
      <c r="D7" s="77"/>
      <c r="E7" s="51">
        <v>13544200</v>
      </c>
    </row>
    <row r="8" spans="1:7">
      <c r="A8" s="76" t="s">
        <v>34</v>
      </c>
      <c r="B8" s="64"/>
      <c r="C8" s="64"/>
      <c r="D8" s="77"/>
      <c r="E8" s="52">
        <v>0.318245259522075</v>
      </c>
    </row>
    <row r="9" spans="1:7">
      <c r="A9" s="76" t="s">
        <v>44</v>
      </c>
      <c r="B9" s="64"/>
      <c r="C9" s="64"/>
      <c r="D9" s="77"/>
      <c r="E9" s="51">
        <v>4728500</v>
      </c>
    </row>
    <row r="10" spans="1:7">
      <c r="A10" s="76" t="s">
        <v>45</v>
      </c>
      <c r="B10" s="64"/>
      <c r="C10" s="64"/>
      <c r="D10" s="77"/>
      <c r="E10" s="51">
        <v>8815700</v>
      </c>
    </row>
    <row r="11" spans="1:7">
      <c r="A11" s="76" t="s">
        <v>36</v>
      </c>
      <c r="B11" s="64"/>
      <c r="C11" s="64"/>
      <c r="D11" s="77"/>
      <c r="E11" s="51">
        <v>2014000</v>
      </c>
    </row>
    <row r="12" spans="1:7" ht="15" thickBot="1">
      <c r="A12" s="84" t="s">
        <v>37</v>
      </c>
      <c r="B12" s="65"/>
      <c r="C12" s="65"/>
      <c r="D12" s="85"/>
      <c r="E12" s="53">
        <v>4.9673202614379103E-2</v>
      </c>
    </row>
    <row r="13" spans="1:7" ht="15" thickBot="1"/>
    <row r="14" spans="1:7" ht="15" thickBot="1">
      <c r="A14" s="20" t="s">
        <v>49</v>
      </c>
      <c r="B14" s="23" t="s">
        <v>46</v>
      </c>
      <c r="C14" s="21" t="s">
        <v>47</v>
      </c>
      <c r="D14" s="31" t="s">
        <v>50</v>
      </c>
      <c r="E14" s="37" t="s">
        <v>51</v>
      </c>
      <c r="F14" s="37" t="s">
        <v>52</v>
      </c>
    </row>
    <row r="15" spans="1:7" ht="29.4" thickBot="1">
      <c r="A15" s="22" t="s">
        <v>1</v>
      </c>
      <c r="B15" s="24" t="s">
        <v>48</v>
      </c>
      <c r="C15" s="34" t="s">
        <v>8</v>
      </c>
      <c r="D15" s="24" t="s">
        <v>36</v>
      </c>
      <c r="E15" s="35" t="s">
        <v>37</v>
      </c>
      <c r="F15" s="35" t="s">
        <v>53</v>
      </c>
    </row>
    <row r="16" spans="1:7">
      <c r="A16" s="28" t="s">
        <v>10</v>
      </c>
      <c r="B16" s="25">
        <f>SUMIFS(tbl_FinancialData[Revenue],tbl_FinancialData[Month],A16)</f>
        <v>2200000</v>
      </c>
      <c r="C16" s="11">
        <f>SUMIFS(tbl_FinancialData[Budget Revenue],tbl_FinancialData[Month],A16)</f>
        <v>2132000</v>
      </c>
      <c r="D16" s="39">
        <f>B16-C16</f>
        <v>68000</v>
      </c>
      <c r="E16" s="40">
        <f>D16/C16</f>
        <v>3.1894934333958722E-2</v>
      </c>
      <c r="F16" s="36">
        <f>SUMIFS(tbl_FinancialData[Operating Profit],tbl_FinancialData[Month],A16)</f>
        <v>410900</v>
      </c>
    </row>
    <row r="17" spans="1:15">
      <c r="A17" s="29" t="s">
        <v>22</v>
      </c>
      <c r="B17" s="26">
        <f>SUMIFS(tbl_FinancialData[Revenue],tbl_FinancialData[Month],A17)</f>
        <v>2128000</v>
      </c>
      <c r="C17" s="32">
        <f>SUMIFS(tbl_FinancialData[Budget Revenue],tbl_FinancialData[Month],A17)</f>
        <v>2047000</v>
      </c>
      <c r="D17" s="29">
        <f>B17-C17</f>
        <v>81000</v>
      </c>
      <c r="E17" s="41">
        <f>D17/C17</f>
        <v>3.957010258915486E-2</v>
      </c>
      <c r="F17" s="26">
        <f>SUMIFS(tbl_FinancialData[Operating Profit],tbl_FinancialData[Month],A17)</f>
        <v>412500</v>
      </c>
    </row>
    <row r="18" spans="1:15">
      <c r="A18" s="29" t="s">
        <v>23</v>
      </c>
      <c r="B18" s="26">
        <f>SUMIFS(tbl_FinancialData[Revenue],tbl_FinancialData[Month],A18)</f>
        <v>2701000</v>
      </c>
      <c r="C18" s="32">
        <f>SUMIFS(tbl_FinancialData[Budget Revenue],tbl_FinancialData[Month],A18)</f>
        <v>2581000</v>
      </c>
      <c r="D18" s="29">
        <f>B18-C18</f>
        <v>120000</v>
      </c>
      <c r="E18" s="41">
        <f>D18/C18</f>
        <v>4.6493607129019759E-2</v>
      </c>
      <c r="F18" s="26">
        <f>SUMIFS(tbl_FinancialData[Operating Profit],tbl_FinancialData[Month],A18)</f>
        <v>527800</v>
      </c>
    </row>
    <row r="19" spans="1:15">
      <c r="A19" s="29" t="s">
        <v>24</v>
      </c>
      <c r="B19" s="26">
        <f>SUMIFS(tbl_FinancialData[Revenue],tbl_FinancialData[Month],A19)</f>
        <v>2802000</v>
      </c>
      <c r="C19" s="32">
        <f>SUMIFS(tbl_FinancialData[Budget Revenue],tbl_FinancialData[Month],A19)</f>
        <v>2698000</v>
      </c>
      <c r="D19" s="28">
        <f t="shared" ref="D19:D27" si="0">B19-C19</f>
        <v>104000</v>
      </c>
      <c r="E19" s="41">
        <f t="shared" ref="E19:E27" si="1">D19/C19</f>
        <v>3.8547071905114902E-2</v>
      </c>
      <c r="F19" s="26">
        <f>SUMIFS(tbl_FinancialData[Operating Profit],tbl_FinancialData[Month],A19)</f>
        <v>578000</v>
      </c>
    </row>
    <row r="20" spans="1:15">
      <c r="A20" s="29" t="s">
        <v>25</v>
      </c>
      <c r="B20" s="26">
        <f>SUMIFS(tbl_FinancialData[Revenue],tbl_FinancialData[Month],A20)</f>
        <v>3035000</v>
      </c>
      <c r="C20" s="32">
        <f>SUMIFS(tbl_FinancialData[Budget Revenue],tbl_FinancialData[Month],A20)</f>
        <v>2899000</v>
      </c>
      <c r="D20" s="29">
        <f t="shared" si="0"/>
        <v>136000</v>
      </c>
      <c r="E20" s="41">
        <f t="shared" si="1"/>
        <v>4.6912728527078305E-2</v>
      </c>
      <c r="F20" s="26">
        <f>SUMIFS(tbl_FinancialData[Operating Profit],tbl_FinancialData[Month],A20)</f>
        <v>615900</v>
      </c>
    </row>
    <row r="21" spans="1:15">
      <c r="A21" s="29" t="s">
        <v>26</v>
      </c>
      <c r="B21" s="26">
        <f>SUMIFS(tbl_FinancialData[Revenue],tbl_FinancialData[Month],A21)</f>
        <v>3461000</v>
      </c>
      <c r="C21" s="32">
        <f>SUMIFS(tbl_FinancialData[Budget Revenue],tbl_FinancialData[Month],A21)</f>
        <v>3273000</v>
      </c>
      <c r="D21" s="29">
        <f t="shared" si="0"/>
        <v>188000</v>
      </c>
      <c r="E21" s="41">
        <f t="shared" si="1"/>
        <v>5.7439657806293919E-2</v>
      </c>
      <c r="F21" s="26">
        <f>SUMIFS(tbl_FinancialData[Operating Profit],tbl_FinancialData[Month],A21)</f>
        <v>715300</v>
      </c>
    </row>
    <row r="22" spans="1:15">
      <c r="A22" s="29" t="s">
        <v>27</v>
      </c>
      <c r="B22" s="26">
        <f>SUMIFS(tbl_FinancialData[Revenue],tbl_FinancialData[Month],A22)</f>
        <v>3730000</v>
      </c>
      <c r="C22" s="32">
        <f>SUMIFS(tbl_FinancialData[Budget Revenue],tbl_FinancialData[Month],A22)</f>
        <v>3557000</v>
      </c>
      <c r="D22" s="28">
        <f t="shared" si="0"/>
        <v>173000</v>
      </c>
      <c r="E22" s="41">
        <f t="shared" si="1"/>
        <v>4.8636491425358447E-2</v>
      </c>
      <c r="F22" s="26">
        <f>SUMIFS(tbl_FinancialData[Operating Profit],tbl_FinancialData[Month],A22)</f>
        <v>780900</v>
      </c>
      <c r="O22" s="38"/>
    </row>
    <row r="23" spans="1:15">
      <c r="A23" s="29" t="s">
        <v>28</v>
      </c>
      <c r="B23" s="26">
        <f>SUMIFS(tbl_FinancialData[Revenue],tbl_FinancialData[Month],A23)</f>
        <v>4125000</v>
      </c>
      <c r="C23" s="32">
        <f>SUMIFS(tbl_FinancialData[Budget Revenue],tbl_FinancialData[Month],A23)</f>
        <v>3906000</v>
      </c>
      <c r="D23" s="29">
        <f t="shared" si="0"/>
        <v>219000</v>
      </c>
      <c r="E23" s="41">
        <f t="shared" si="1"/>
        <v>5.606758832565284E-2</v>
      </c>
      <c r="F23" s="26">
        <f>SUMIFS(tbl_FinancialData[Operating Profit],tbl_FinancialData[Month],A23)</f>
        <v>869900</v>
      </c>
    </row>
    <row r="24" spans="1:15">
      <c r="A24" s="29" t="s">
        <v>29</v>
      </c>
      <c r="B24" s="26">
        <f>SUMIFS(tbl_FinancialData[Revenue],tbl_FinancialData[Month],A24)</f>
        <v>3956000</v>
      </c>
      <c r="C24" s="32">
        <f>SUMIFS(tbl_FinancialData[Budget Revenue],tbl_FinancialData[Month],A24)</f>
        <v>3770000</v>
      </c>
      <c r="D24" s="29">
        <f t="shared" si="0"/>
        <v>186000</v>
      </c>
      <c r="E24" s="41">
        <f t="shared" si="1"/>
        <v>4.9336870026525197E-2</v>
      </c>
      <c r="F24" s="26">
        <f>SUMIFS(tbl_FinancialData[Operating Profit],tbl_FinancialData[Month],A24)</f>
        <v>832500</v>
      </c>
    </row>
    <row r="25" spans="1:15">
      <c r="A25" s="29" t="s">
        <v>30</v>
      </c>
      <c r="B25" s="26">
        <f>SUMIFS(tbl_FinancialData[Revenue],tbl_FinancialData[Month],A25)</f>
        <v>4501000</v>
      </c>
      <c r="C25" s="32">
        <f>SUMIFS(tbl_FinancialData[Budget Revenue],tbl_FinancialData[Month],A25)</f>
        <v>4261000</v>
      </c>
      <c r="D25" s="28">
        <f t="shared" si="0"/>
        <v>240000</v>
      </c>
      <c r="E25" s="41">
        <f t="shared" si="1"/>
        <v>5.632480638347806E-2</v>
      </c>
      <c r="F25" s="26">
        <f>SUMIFS(tbl_FinancialData[Operating Profit],tbl_FinancialData[Month],A25)</f>
        <v>956700</v>
      </c>
    </row>
    <row r="26" spans="1:15">
      <c r="A26" s="29" t="s">
        <v>31</v>
      </c>
      <c r="B26" s="26">
        <f>SUMIFS(tbl_FinancialData[Revenue],tbl_FinancialData[Month],A26)</f>
        <v>4755000</v>
      </c>
      <c r="C26" s="32">
        <f>SUMIFS(tbl_FinancialData[Budget Revenue],tbl_FinancialData[Month],A26)</f>
        <v>4523000</v>
      </c>
      <c r="D26" s="29">
        <f t="shared" si="0"/>
        <v>232000</v>
      </c>
      <c r="E26" s="41">
        <f t="shared" si="1"/>
        <v>5.1293389343356179E-2</v>
      </c>
      <c r="F26" s="26">
        <f>SUMIFS(tbl_FinancialData[Operating Profit],tbl_FinancialData[Month],A26)</f>
        <v>1013400</v>
      </c>
    </row>
    <row r="27" spans="1:15" ht="15" thickBot="1">
      <c r="A27" s="30" t="s">
        <v>32</v>
      </c>
      <c r="B27" s="27">
        <f>SUMIFS(tbl_FinancialData[Revenue],tbl_FinancialData[Month],A27)</f>
        <v>5165000</v>
      </c>
      <c r="C27" s="33">
        <f>SUMIFS(tbl_FinancialData[Budget Revenue],tbl_FinancialData[Month],A27)</f>
        <v>4898000</v>
      </c>
      <c r="D27" s="30">
        <f t="shared" si="0"/>
        <v>267000</v>
      </c>
      <c r="E27" s="42">
        <f t="shared" si="1"/>
        <v>5.4512045732952229E-2</v>
      </c>
      <c r="F27" s="27">
        <f>SUMIFS(tbl_FinancialData[Operating Profit],tbl_FinancialData[Month],A27)</f>
        <v>1101900</v>
      </c>
    </row>
    <row r="29" spans="1:15">
      <c r="A29" s="43" t="s">
        <v>54</v>
      </c>
      <c r="B29" t="s">
        <v>56</v>
      </c>
    </row>
    <row r="30" spans="1:15">
      <c r="A30" s="44" t="s">
        <v>14</v>
      </c>
      <c r="B30">
        <v>8575000</v>
      </c>
    </row>
    <row r="31" spans="1:15">
      <c r="A31" s="44" t="s">
        <v>11</v>
      </c>
      <c r="B31">
        <v>26733000</v>
      </c>
    </row>
    <row r="32" spans="1:15">
      <c r="A32" s="44" t="s">
        <v>16</v>
      </c>
      <c r="B32">
        <v>7251000</v>
      </c>
    </row>
    <row r="33" spans="1:2">
      <c r="A33" s="44" t="s">
        <v>55</v>
      </c>
      <c r="B33">
        <v>42559000</v>
      </c>
    </row>
  </sheetData>
  <mergeCells count="10">
    <mergeCell ref="A8:D8"/>
    <mergeCell ref="A9:D9"/>
    <mergeCell ref="A10:D10"/>
    <mergeCell ref="A11:D11"/>
    <mergeCell ref="A12:D12"/>
    <mergeCell ref="A1:G1"/>
    <mergeCell ref="A2:G2"/>
    <mergeCell ref="A7:D7"/>
    <mergeCell ref="A6:D6"/>
    <mergeCell ref="A5:D5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dashboards</vt:lpstr>
      <vt:lpstr>Sheet2</vt:lpstr>
      <vt:lpstr>tbl_FinancialData</vt:lpstr>
      <vt:lpstr>financial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kaviya</dc:creator>
  <cp:lastModifiedBy>pushpakaviya2005@gmail.com</cp:lastModifiedBy>
  <cp:lastPrinted>2026-10-22T12:52:08Z</cp:lastPrinted>
  <dcterms:created xsi:type="dcterms:W3CDTF">2026-09-28T17:12:49Z</dcterms:created>
  <dcterms:modified xsi:type="dcterms:W3CDTF">2026-10-23T08:53:29Z</dcterms:modified>
</cp:coreProperties>
</file>